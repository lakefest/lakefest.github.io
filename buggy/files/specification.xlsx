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чать здесь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Детали" sheetId="3" state="visible" r:id="rId3"/>
    <sheet xmlns:r="http://schemas.openxmlformats.org/officeDocument/2006/relationships" name="Закупка труб" sheetId="4" state="visible" r:id="rId4"/>
    <sheet xmlns:r="http://schemas.openxmlformats.org/officeDocument/2006/relationships" name="Раскрой хлыстов" sheetId="5" state="visible" r:id="rId5"/>
    <sheet xmlns:r="http://schemas.openxmlformats.org/officeDocument/2006/relationships" name="Дуги" sheetId="6" state="visible" r:id="rId6"/>
    <sheet xmlns:r="http://schemas.openxmlformats.org/officeDocument/2006/relationships" name="Листы и прочее" sheetId="7" state="visible" r:id="rId7"/>
    <sheet xmlns:r="http://schemas.openxmlformats.org/officeDocument/2006/relationships" name="Смета" sheetId="8" state="visible" r:id="rId8"/>
    <sheet xmlns:r="http://schemas.openxmlformats.org/officeDocument/2006/relationships" name="Источники" sheetId="9" state="visible" r:id="rId9"/>
    <sheet xmlns:r="http://schemas.openxmlformats.org/officeDocument/2006/relationships" name="Обмер агрегатов" sheetId="10" state="visible" r:id="rId10"/>
  </sheets>
  <definedNames>
    <definedName name="_xlnm._FilterDatabase" localSheetId="0" hidden="1">'Начать здесь'!$A$1:$A$9</definedName>
    <definedName name="_xlnm._FilterDatabase" localSheetId="1" hidden="1">'Параметры'!$A$1:$D$17</definedName>
    <definedName name="_xlnm._FilterDatabase" localSheetId="2" hidden="1">'Детали'!$A$1:$N$60</definedName>
    <definedName name="_xlnm._FilterDatabase" localSheetId="3" hidden="1">'Закупка труб'!$A$1:$I$7</definedName>
    <definedName name="_xlnm._FilterDatabase" localSheetId="4" hidden="1">'Раскрой хлыстов'!$A$1:$H$70</definedName>
    <definedName name="_xlnm._FilterDatabase" localSheetId="5" hidden="1">'Дуги'!$A$1:$H$4</definedName>
    <definedName name="_xlnm._FilterDatabase" localSheetId="6" hidden="1">'Листы и прочее'!$A$1:$G$9</definedName>
    <definedName name="_xlnm._FilterDatabase" localSheetId="7" hidden="1">'Смета'!$A$1:$D$17</definedName>
    <definedName name="_xlnm._FilterDatabase" localSheetId="8" hidden="1">'Источники'!$A$1:$D$13</definedName>
    <definedName name="_xlnm._FilterDatabase" localSheetId="9" hidden="1">'Обмер агрегатов'!$A$1:$C$17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84B"/>
      </patternFill>
    </fill>
    <fill>
      <patternFill patternType="solid">
        <fgColor rgb="00EEF4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1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www.stroymetall.ru/catalog/truby/profilnye/kvadratnye/40x40x2/" TargetMode="External" Id="rId1"/><Relationship Type="http://schemas.openxmlformats.org/officeDocument/2006/relationships/hyperlink" Target="https://www.stroymetall.ru/catalog/truby/profilnye/kvadratnye/30x30x2/" TargetMode="External" Id="rId2"/><Relationship Type="http://schemas.openxmlformats.org/officeDocument/2006/relationships/hyperlink" Target="https://www.stroymetall.ru/catalog/truby/profilnye/kvadratnye/25x25x2/" TargetMode="External" Id="rId3"/><Relationship Type="http://schemas.openxmlformats.org/officeDocument/2006/relationships/hyperlink" Target="https://metalos.ru/truba-besshovnaya/diametr__45/stenka__3/" TargetMode="External" Id="rId4"/><Relationship Type="http://schemas.openxmlformats.org/officeDocument/2006/relationships/hyperlink" Target="https://shop.metall-energy.ru/truby/truba-besshovnaya-xolodnodeformirovannaya/truba-besshovnaya-x-d-45x3-st20/" TargetMode="External" Id="rId5"/><Relationship Type="http://schemas.openxmlformats.org/officeDocument/2006/relationships/hyperlink" Target="https://www.lifan-rf.ru/catalog/dvigateli_benzinovye_s_ruchnym_i_elektro_zapuskom_gorizontalnyy_val/lifan_190f/" TargetMode="External" Id="rId6"/><Relationship Type="http://schemas.openxmlformats.org/officeDocument/2006/relationships/hyperlink" Target="https://ros-inst.ru/product/HAAAAAAAAAAAAAAAAAAAAA/Dvigatel-Lifan-190F-15-ls" TargetMode="External" Id="rId7"/><Relationship Type="http://schemas.openxmlformats.org/officeDocument/2006/relationships/hyperlink" Target="https://motodom.su/transmissiya/variator-safari-v-sbore.html" TargetMode="External" Id="rId8"/><Relationship Type="http://schemas.openxmlformats.org/officeDocument/2006/relationships/hyperlink" Target="https://petroltech.ru/catalog/zapchasti-dlya-motobuksirovshchikov/komplekty_variatorov/" TargetMode="External" Id="rId9"/><Relationship Type="http://schemas.openxmlformats.org/officeDocument/2006/relationships/hyperlink" Target="https://petrovich.ru/product/612299/" TargetMode="External" Id="rId10"/><Relationship Type="http://schemas.openxmlformats.org/officeDocument/2006/relationships/hyperlink" Target="https://www.nivalada.ru/catalog/most_zadniy/" TargetMode="External" Id="rId11"/><Relationship Type="http://schemas.openxmlformats.org/officeDocument/2006/relationships/hyperlink" Target="https://www.jegs.com/InstallationInstructions/800/879/879-G02385NRRS_i.pdf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32" customHeight="1">
      <c r="A1" s="1" t="inlineStr">
        <is>
          <t>B2-190 v0.1 — эскиз, НЕ рабочая конструкторская документация</t>
        </is>
      </c>
    </row>
    <row r="2">
      <c r="A2" s="2" t="inlineStr">
        <is>
          <t>2 места: водитель + пассажир. По 80 кг, рост до 190 см.</t>
        </is>
      </c>
    </row>
    <row r="3">
      <c r="A3" s="3" t="inlineStr">
        <is>
          <t>Все координаты и размеры — мм. Привязки агрегатов требуют обмера.</t>
        </is>
      </c>
    </row>
    <row r="4">
      <c r="A4" s="2" t="inlineStr">
        <is>
          <t>60 м — закупка труб для показанной рамы; 59 деталей.</t>
        </is>
      </c>
    </row>
    <row r="5">
      <c r="A5" s="3" t="inlineStr">
        <is>
          <t>Сталь и сечения выбраны для оценки компоновки и сметы; прочность не подтверждена.</t>
        </is>
      </c>
    </row>
    <row r="6">
      <c r="A6" s="2" t="inlineStr">
        <is>
          <t>Раскрой: Lосевая не равна готовой длине при усах/седловинах. Резать сначала заготовки.</t>
        </is>
      </c>
    </row>
    <row r="7">
      <c r="A7" s="3" t="inlineStr">
        <is>
          <t>Неучтённые в раскрое: рычаги подвески, их кронштейны, опоры ремней/сидений, крепления рейки и привода.</t>
        </is>
      </c>
    </row>
    <row r="8">
      <c r="A8" s="2" t="inlineStr">
        <is>
          <t>Бюджет в РФ, рубли; город пользователя не известен. Ссылки просмотрены 22.10.2026.</t>
        </is>
      </c>
    </row>
    <row r="9">
      <c r="A9" s="3" t="inlineStr">
        <is>
          <t>Серые детали 3D — схема донорских узлов, фиолетовый — резерв под привод.</t>
        </is>
      </c>
    </row>
  </sheetData>
  <autoFilter ref="A1:A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2" customWidth="1" min="1" max="1"/>
    <col width="13" customWidth="1" min="2" max="2"/>
    <col width="13" customWidth="1" min="3" max="3"/>
    <col width="28.8" customWidth="1" min="4" max="4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Статус</t>
        </is>
      </c>
    </row>
    <row r="2">
      <c r="A2" s="2" t="inlineStr">
        <is>
          <t>Люди</t>
        </is>
      </c>
      <c r="B2" s="2" t="n">
        <v>2</v>
      </c>
      <c r="C2" s="2" t="inlineStr">
        <is>
          <t>чел</t>
        </is>
      </c>
      <c r="D2" s="2" t="inlineStr">
        <is>
          <t>задано</t>
        </is>
      </c>
    </row>
    <row r="3">
      <c r="A3" s="3" t="inlineStr">
        <is>
          <t>Масса каждого</t>
        </is>
      </c>
      <c r="B3" s="3" t="n">
        <v>80</v>
      </c>
      <c r="C3" s="3" t="inlineStr">
        <is>
          <t>кг</t>
        </is>
      </c>
      <c r="D3" s="3" t="inlineStr">
        <is>
          <t>задано</t>
        </is>
      </c>
    </row>
    <row r="4">
      <c r="A4" s="2" t="inlineStr">
        <is>
          <t>Рост каждого</t>
        </is>
      </c>
      <c r="B4" s="2" t="n">
        <v>1900</v>
      </c>
      <c r="C4" s="2" t="inlineStr">
        <is>
          <t>мм</t>
        </is>
      </c>
      <c r="D4" s="2" t="inlineStr">
        <is>
          <t>задано</t>
        </is>
      </c>
    </row>
    <row r="5">
      <c r="A5" s="3" t="inlineStr">
        <is>
          <t>Длина рамы по осям</t>
        </is>
      </c>
      <c r="B5" s="3" t="n">
        <v>3000</v>
      </c>
      <c r="C5" s="3" t="inlineStr">
        <is>
          <t>мм</t>
        </is>
      </c>
      <c r="D5" s="3" t="inlineStr">
        <is>
          <t>назначено</t>
        </is>
      </c>
    </row>
    <row r="6">
      <c r="A6" s="2" t="inlineStr">
        <is>
          <t>Колёсная база</t>
        </is>
      </c>
      <c r="B6" s="2" t="n">
        <v>2200</v>
      </c>
      <c r="C6" s="2" t="inlineStr">
        <is>
          <t>мм</t>
        </is>
      </c>
      <c r="D6" s="2" t="inlineStr">
        <is>
          <t>назначено</t>
        </is>
      </c>
    </row>
    <row r="7">
      <c r="A7" s="3" t="inlineStr">
        <is>
          <t>Колея спереди</t>
        </is>
      </c>
      <c r="B7" s="3" t="n">
        <v>1400</v>
      </c>
      <c r="C7" s="3" t="inlineStr">
        <is>
          <t>мм</t>
        </is>
      </c>
      <c r="D7" s="3" t="inlineStr">
        <is>
          <t>назначено; проверить донор</t>
        </is>
      </c>
    </row>
    <row r="8">
      <c r="A8" s="2" t="inlineStr">
        <is>
          <t>Колея сзади</t>
        </is>
      </c>
      <c r="B8" s="2" t="n">
        <v>1300</v>
      </c>
      <c r="C8" s="2" t="inlineStr">
        <is>
          <t>мм</t>
        </is>
      </c>
      <c r="D8" s="2" t="inlineStr">
        <is>
          <t>назначено; обмер</t>
        </is>
      </c>
    </row>
    <row r="9">
      <c r="A9" s="3" t="inlineStr">
        <is>
          <t>Кабина по осям труб</t>
        </is>
      </c>
      <c r="B9" s="3" t="n">
        <v>1300</v>
      </c>
      <c r="C9" s="3" t="inlineStr">
        <is>
          <t>мм</t>
        </is>
      </c>
      <c r="D9" s="3" t="inlineStr">
        <is>
          <t>назначено</t>
        </is>
      </c>
    </row>
    <row r="10">
      <c r="A10" s="2" t="inlineStr">
        <is>
          <t>Кабина в свету нижних труб</t>
        </is>
      </c>
      <c r="B10" s="2" t="n">
        <v>1260</v>
      </c>
      <c r="C10" s="2" t="inlineStr">
        <is>
          <t>мм</t>
        </is>
      </c>
      <c r="D10" s="2" t="inlineStr">
        <is>
          <t>вычислено</t>
        </is>
      </c>
    </row>
    <row r="11">
      <c r="A11" s="3" t="inlineStr">
        <is>
          <t>Верх дуги по оси</t>
        </is>
      </c>
      <c r="B11" s="3" t="n">
        <v>1750</v>
      </c>
      <c r="C11" s="3" t="inlineStr">
        <is>
          <t>мм</t>
        </is>
      </c>
      <c r="D11" s="3" t="inlineStr">
        <is>
          <t>назначено</t>
        </is>
      </c>
    </row>
    <row r="12">
      <c r="A12" s="2" t="inlineStr">
        <is>
          <t>Верх дуги наружный</t>
        </is>
      </c>
      <c r="B12" s="2" t="n">
        <v>1772.5</v>
      </c>
      <c r="C12" s="2" t="inlineStr">
        <is>
          <t>мм</t>
        </is>
      </c>
      <c r="D12" s="2" t="inlineStr">
        <is>
          <t>вычислено</t>
        </is>
      </c>
    </row>
    <row r="13">
      <c r="A13" s="3" t="inlineStr">
        <is>
          <t>Нижняя рама, ось</t>
        </is>
      </c>
      <c r="B13" s="3" t="n">
        <v>350</v>
      </c>
      <c r="C13" s="3" t="inlineStr">
        <is>
          <t>мм</t>
        </is>
      </c>
      <c r="D13" s="3" t="inlineStr">
        <is>
          <t>назначено</t>
        </is>
      </c>
    </row>
    <row r="14">
      <c r="A14" s="2" t="inlineStr">
        <is>
          <t>Задняя рама, ось</t>
        </is>
      </c>
      <c r="B14" s="2" t="n">
        <v>550</v>
      </c>
      <c r="C14" s="2" t="inlineStr">
        <is>
          <t>мм</t>
        </is>
      </c>
      <c r="D14" s="2" t="inlineStr">
        <is>
          <t>назначено</t>
        </is>
      </c>
    </row>
    <row r="15">
      <c r="A15" s="3" t="inlineStr">
        <is>
          <t>Колёса</t>
        </is>
      </c>
      <c r="B15" s="3" t="n">
        <v>576</v>
      </c>
      <c r="C15" s="3" t="inlineStr">
        <is>
          <t>мм</t>
        </is>
      </c>
      <c r="D15" s="3" t="inlineStr">
        <is>
          <t>номинальный диаметр; уточнить</t>
        </is>
      </c>
    </row>
    <row r="16">
      <c r="A16" s="2" t="inlineStr">
        <is>
          <t>Ширина шин</t>
        </is>
      </c>
      <c r="B16" s="2" t="n">
        <v>175</v>
      </c>
      <c r="C16" s="2" t="inlineStr">
        <is>
          <t>мм</t>
        </is>
      </c>
      <c r="D16" s="2" t="inlineStr">
        <is>
          <t>условная</t>
        </is>
      </c>
    </row>
    <row r="17">
      <c r="A17" s="3" t="inlineStr">
        <is>
          <t>Полная масса для примеров расчётов</t>
        </is>
      </c>
      <c r="B17" s="3" t="n">
        <v>700</v>
      </c>
      <c r="C17" s="3" t="inlineStr">
        <is>
          <t>кг</t>
        </is>
      </c>
      <c r="D17" s="3" t="inlineStr">
        <is>
          <t>предварительная, не грузоподъёмность</t>
        </is>
      </c>
    </row>
  </sheetData>
  <autoFilter ref="A1:D17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42.40000000000001" customWidth="1" min="14" max="14"/>
  </cols>
  <sheetData>
    <row r="1" ht="32" customHeight="1">
      <c r="A1" s="1" t="inlineStr">
        <is>
          <t>ID</t>
        </is>
      </c>
      <c r="B1" s="1" t="inlineStr">
        <is>
          <t>Сечение</t>
        </is>
      </c>
      <c r="C1" s="1" t="inlineStr">
        <is>
          <t>Название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Z1</t>
        </is>
      </c>
      <c r="G1" s="1" t="inlineStr">
        <is>
          <t>X2</t>
        </is>
      </c>
      <c r="H1" s="1" t="inlineStr">
        <is>
          <t>Y2</t>
        </is>
      </c>
      <c r="I1" s="1" t="inlineStr">
        <is>
          <t>Z2</t>
        </is>
      </c>
      <c r="J1" s="1" t="inlineStr">
        <is>
          <t>L геом., мм</t>
        </is>
      </c>
      <c r="K1" s="1" t="inlineStr">
        <is>
          <t>Заготовка, мм</t>
        </is>
      </c>
      <c r="L1" s="1" t="inlineStr">
        <is>
          <t>Азимут XY, °</t>
        </is>
      </c>
      <c r="M1" s="1" t="inlineStr">
        <is>
          <t>Наклон к XY, °</t>
        </is>
      </c>
      <c r="N1" s="1" t="inlineStr">
        <is>
          <t>Торцы / примечание</t>
        </is>
      </c>
    </row>
    <row r="2">
      <c r="A2" s="2" t="inlineStr">
        <is>
          <t>A01L</t>
        </is>
      </c>
      <c r="B2" s="2" t="inlineStr">
        <is>
          <t>40x40x2</t>
        </is>
      </c>
      <c r="C2" s="2" t="inlineStr">
        <is>
          <t>Лонжерон / переход</t>
        </is>
      </c>
      <c r="D2" s="2" t="n">
        <v>0</v>
      </c>
      <c r="E2" s="2" t="n">
        <v>-350</v>
      </c>
      <c r="F2" s="2" t="n">
        <v>350</v>
      </c>
      <c r="G2" s="2" t="n">
        <v>650</v>
      </c>
      <c r="H2" s="2" t="n">
        <v>-350</v>
      </c>
      <c r="I2" s="2" t="n">
        <v>350</v>
      </c>
      <c r="J2" s="2" t="n">
        <v>650</v>
      </c>
      <c r="K2" s="2" t="n">
        <v>710</v>
      </c>
      <c r="L2" s="2" t="n">
        <v>0</v>
      </c>
      <c r="M2" s="2" t="n">
        <v>0</v>
      </c>
      <c r="N2" s="2" t="inlineStr">
        <is>
          <t>припуск; торцы подогнать по узлу</t>
        </is>
      </c>
    </row>
    <row r="3">
      <c r="A3" s="3" t="inlineStr">
        <is>
          <t>A01R</t>
        </is>
      </c>
      <c r="B3" s="3" t="inlineStr">
        <is>
          <t>40x40x2</t>
        </is>
      </c>
      <c r="C3" s="3" t="inlineStr">
        <is>
          <t>Лонжерон / переход</t>
        </is>
      </c>
      <c r="D3" s="3" t="n">
        <v>0</v>
      </c>
      <c r="E3" s="3" t="n">
        <v>350</v>
      </c>
      <c r="F3" s="3" t="n">
        <v>350</v>
      </c>
      <c r="G3" s="3" t="n">
        <v>650</v>
      </c>
      <c r="H3" s="3" t="n">
        <v>350</v>
      </c>
      <c r="I3" s="3" t="n">
        <v>350</v>
      </c>
      <c r="J3" s="3" t="n">
        <v>650</v>
      </c>
      <c r="K3" s="3" t="n">
        <v>710</v>
      </c>
      <c r="L3" s="3" t="n">
        <v>0</v>
      </c>
      <c r="M3" s="3" t="n">
        <v>0</v>
      </c>
      <c r="N3" s="3" t="inlineStr">
        <is>
          <t>припуск; торцы подогнать по узлу</t>
        </is>
      </c>
    </row>
    <row r="4">
      <c r="A4" s="2" t="inlineStr">
        <is>
          <t>A02L</t>
        </is>
      </c>
      <c r="B4" s="2" t="inlineStr">
        <is>
          <t>40x40x2</t>
        </is>
      </c>
      <c r="C4" s="2" t="inlineStr">
        <is>
          <t>Лонжерон / переход</t>
        </is>
      </c>
      <c r="D4" s="2" t="n">
        <v>650</v>
      </c>
      <c r="E4" s="2" t="n">
        <v>-350</v>
      </c>
      <c r="F4" s="2" t="n">
        <v>350</v>
      </c>
      <c r="G4" s="2" t="n">
        <v>900</v>
      </c>
      <c r="H4" s="2" t="n">
        <v>-650</v>
      </c>
      <c r="I4" s="2" t="n">
        <v>350</v>
      </c>
      <c r="J4" s="2" t="n">
        <v>390.51</v>
      </c>
      <c r="K4" s="2" t="n">
        <v>455</v>
      </c>
      <c r="L4" s="2" t="n">
        <v>-50.19</v>
      </c>
      <c r="M4" s="2" t="n">
        <v>0</v>
      </c>
      <c r="N4" s="2" t="inlineStr">
        <is>
          <t>припуск; торцы подогнать по узлу</t>
        </is>
      </c>
    </row>
    <row r="5">
      <c r="A5" s="3" t="inlineStr">
        <is>
          <t>A02R</t>
        </is>
      </c>
      <c r="B5" s="3" t="inlineStr">
        <is>
          <t>40x40x2</t>
        </is>
      </c>
      <c r="C5" s="3" t="inlineStr">
        <is>
          <t>Лонжерон / переход</t>
        </is>
      </c>
      <c r="D5" s="3" t="n">
        <v>650</v>
      </c>
      <c r="E5" s="3" t="n">
        <v>350</v>
      </c>
      <c r="F5" s="3" t="n">
        <v>350</v>
      </c>
      <c r="G5" s="3" t="n">
        <v>900</v>
      </c>
      <c r="H5" s="3" t="n">
        <v>650</v>
      </c>
      <c r="I5" s="3" t="n">
        <v>350</v>
      </c>
      <c r="J5" s="3" t="n">
        <v>390.51</v>
      </c>
      <c r="K5" s="3" t="n">
        <v>455</v>
      </c>
      <c r="L5" s="3" t="n">
        <v>50.19</v>
      </c>
      <c r="M5" s="3" t="n">
        <v>0</v>
      </c>
      <c r="N5" s="3" t="inlineStr">
        <is>
          <t>припуск; торцы подогнать по узлу</t>
        </is>
      </c>
    </row>
    <row r="6">
      <c r="A6" s="2" t="inlineStr">
        <is>
          <t>A03L</t>
        </is>
      </c>
      <c r="B6" s="2" t="inlineStr">
        <is>
          <t>40x40x2</t>
        </is>
      </c>
      <c r="C6" s="2" t="inlineStr">
        <is>
          <t>Лонжерон / переход</t>
        </is>
      </c>
      <c r="D6" s="2" t="n">
        <v>900</v>
      </c>
      <c r="E6" s="2" t="n">
        <v>-650</v>
      </c>
      <c r="F6" s="2" t="n">
        <v>350</v>
      </c>
      <c r="G6" s="2" t="n">
        <v>2050</v>
      </c>
      <c r="H6" s="2" t="n">
        <v>-650</v>
      </c>
      <c r="I6" s="2" t="n">
        <v>350</v>
      </c>
      <c r="J6" s="2" t="n">
        <v>1150</v>
      </c>
      <c r="K6" s="2" t="n">
        <v>1210</v>
      </c>
      <c r="L6" s="2" t="n">
        <v>0</v>
      </c>
      <c r="M6" s="2" t="n">
        <v>0</v>
      </c>
      <c r="N6" s="2" t="inlineStr">
        <is>
          <t>припуск; торцы подогнать по узлу</t>
        </is>
      </c>
    </row>
    <row r="7">
      <c r="A7" s="3" t="inlineStr">
        <is>
          <t>A03R</t>
        </is>
      </c>
      <c r="B7" s="3" t="inlineStr">
        <is>
          <t>40x40x2</t>
        </is>
      </c>
      <c r="C7" s="3" t="inlineStr">
        <is>
          <t>Лонжерон / переход</t>
        </is>
      </c>
      <c r="D7" s="3" t="n">
        <v>900</v>
      </c>
      <c r="E7" s="3" t="n">
        <v>650</v>
      </c>
      <c r="F7" s="3" t="n">
        <v>350</v>
      </c>
      <c r="G7" s="3" t="n">
        <v>2050</v>
      </c>
      <c r="H7" s="3" t="n">
        <v>650</v>
      </c>
      <c r="I7" s="3" t="n">
        <v>350</v>
      </c>
      <c r="J7" s="3" t="n">
        <v>1150</v>
      </c>
      <c r="K7" s="3" t="n">
        <v>1210</v>
      </c>
      <c r="L7" s="3" t="n">
        <v>0</v>
      </c>
      <c r="M7" s="3" t="n">
        <v>0</v>
      </c>
      <c r="N7" s="3" t="inlineStr">
        <is>
          <t>припуск; торцы подогнать по узлу</t>
        </is>
      </c>
    </row>
    <row r="8">
      <c r="A8" s="2" t="inlineStr">
        <is>
          <t>A04L</t>
        </is>
      </c>
      <c r="B8" s="2" t="inlineStr">
        <is>
          <t>40x40x2</t>
        </is>
      </c>
      <c r="C8" s="2" t="inlineStr">
        <is>
          <t>Лонжерон / переход</t>
        </is>
      </c>
      <c r="D8" s="2" t="n">
        <v>2050</v>
      </c>
      <c r="E8" s="2" t="n">
        <v>-650</v>
      </c>
      <c r="F8" s="2" t="n">
        <v>350</v>
      </c>
      <c r="G8" s="2" t="n">
        <v>2300</v>
      </c>
      <c r="H8" s="2" t="n">
        <v>-400</v>
      </c>
      <c r="I8" s="2" t="n">
        <v>550</v>
      </c>
      <c r="J8" s="2" t="n">
        <v>406.2</v>
      </c>
      <c r="K8" s="2" t="n">
        <v>470</v>
      </c>
      <c r="L8" s="2" t="n">
        <v>45</v>
      </c>
      <c r="M8" s="2" t="n">
        <v>29.5</v>
      </c>
      <c r="N8" s="2" t="inlineStr">
        <is>
          <t>припуск; торцы подогнать по узлу</t>
        </is>
      </c>
    </row>
    <row r="9">
      <c r="A9" s="3" t="inlineStr">
        <is>
          <t>A04R</t>
        </is>
      </c>
      <c r="B9" s="3" t="inlineStr">
        <is>
          <t>40x40x2</t>
        </is>
      </c>
      <c r="C9" s="3" t="inlineStr">
        <is>
          <t>Лонжерон / переход</t>
        </is>
      </c>
      <c r="D9" s="3" t="n">
        <v>2050</v>
      </c>
      <c r="E9" s="3" t="n">
        <v>650</v>
      </c>
      <c r="F9" s="3" t="n">
        <v>350</v>
      </c>
      <c r="G9" s="3" t="n">
        <v>2300</v>
      </c>
      <c r="H9" s="3" t="n">
        <v>400</v>
      </c>
      <c r="I9" s="3" t="n">
        <v>550</v>
      </c>
      <c r="J9" s="3" t="n">
        <v>406.2</v>
      </c>
      <c r="K9" s="3" t="n">
        <v>470</v>
      </c>
      <c r="L9" s="3" t="n">
        <v>-45</v>
      </c>
      <c r="M9" s="3" t="n">
        <v>29.5</v>
      </c>
      <c r="N9" s="3" t="inlineStr">
        <is>
          <t>припуск; торцы подогнать по узлу</t>
        </is>
      </c>
    </row>
    <row r="10">
      <c r="A10" s="2" t="inlineStr">
        <is>
          <t>A05L</t>
        </is>
      </c>
      <c r="B10" s="2" t="inlineStr">
        <is>
          <t>40x40x2</t>
        </is>
      </c>
      <c r="C10" s="2" t="inlineStr">
        <is>
          <t>Лонжерон / переход</t>
        </is>
      </c>
      <c r="D10" s="2" t="n">
        <v>2300</v>
      </c>
      <c r="E10" s="2" t="n">
        <v>-400</v>
      </c>
      <c r="F10" s="2" t="n">
        <v>550</v>
      </c>
      <c r="G10" s="2" t="n">
        <v>3000</v>
      </c>
      <c r="H10" s="2" t="n">
        <v>-400</v>
      </c>
      <c r="I10" s="2" t="n">
        <v>550</v>
      </c>
      <c r="J10" s="2" t="n">
        <v>700</v>
      </c>
      <c r="K10" s="2" t="n">
        <v>760</v>
      </c>
      <c r="L10" s="2" t="n">
        <v>0</v>
      </c>
      <c r="M10" s="2" t="n">
        <v>0</v>
      </c>
      <c r="N10" s="2" t="inlineStr">
        <is>
          <t>припуск; торцы подогнать по узлу</t>
        </is>
      </c>
    </row>
    <row r="11">
      <c r="A11" s="3" t="inlineStr">
        <is>
          <t>A05R</t>
        </is>
      </c>
      <c r="B11" s="3" t="inlineStr">
        <is>
          <t>40x40x2</t>
        </is>
      </c>
      <c r="C11" s="3" t="inlineStr">
        <is>
          <t>Лонжерон / переход</t>
        </is>
      </c>
      <c r="D11" s="3" t="n">
        <v>2300</v>
      </c>
      <c r="E11" s="3" t="n">
        <v>400</v>
      </c>
      <c r="F11" s="3" t="n">
        <v>550</v>
      </c>
      <c r="G11" s="3" t="n">
        <v>3000</v>
      </c>
      <c r="H11" s="3" t="n">
        <v>400</v>
      </c>
      <c r="I11" s="3" t="n">
        <v>550</v>
      </c>
      <c r="J11" s="3" t="n">
        <v>700</v>
      </c>
      <c r="K11" s="3" t="n">
        <v>760</v>
      </c>
      <c r="L11" s="3" t="n">
        <v>0</v>
      </c>
      <c r="M11" s="3" t="n">
        <v>0</v>
      </c>
      <c r="N11" s="3" t="inlineStr">
        <is>
          <t>припуск; торцы подогнать по узлу</t>
        </is>
      </c>
    </row>
    <row r="12">
      <c r="A12" s="2" t="inlineStr">
        <is>
          <t>A11</t>
        </is>
      </c>
      <c r="B12" s="2" t="inlineStr">
        <is>
          <t>40x40x2</t>
        </is>
      </c>
      <c r="C12" s="2" t="inlineStr">
        <is>
          <t>Поперечина между лонжеронами</t>
        </is>
      </c>
      <c r="D12" s="2" t="n">
        <v>0</v>
      </c>
      <c r="E12" s="2" t="n">
        <v>-330</v>
      </c>
      <c r="F12" s="2" t="n">
        <v>350</v>
      </c>
      <c r="G12" s="2" t="n">
        <v>0</v>
      </c>
      <c r="H12" s="2" t="n">
        <v>330</v>
      </c>
      <c r="I12" s="2" t="n">
        <v>350</v>
      </c>
      <c r="J12" s="2" t="n">
        <v>660</v>
      </c>
      <c r="K12" s="2" t="n">
        <v>660</v>
      </c>
      <c r="L12" s="2" t="n">
        <v>90</v>
      </c>
      <c r="M12" s="2" t="n">
        <v>0</v>
      </c>
      <c r="N12" s="2" t="inlineStr">
        <is>
          <t>90°; размер между торцами</t>
        </is>
      </c>
    </row>
    <row r="13">
      <c r="A13" s="3" t="inlineStr">
        <is>
          <t>A12</t>
        </is>
      </c>
      <c r="B13" s="3" t="inlineStr">
        <is>
          <t>40x40x2</t>
        </is>
      </c>
      <c r="C13" s="3" t="inlineStr">
        <is>
          <t>Поперечина между лонжеронами</t>
        </is>
      </c>
      <c r="D13" s="3" t="n">
        <v>500</v>
      </c>
      <c r="E13" s="3" t="n">
        <v>-330</v>
      </c>
      <c r="F13" s="3" t="n">
        <v>350</v>
      </c>
      <c r="G13" s="3" t="n">
        <v>500</v>
      </c>
      <c r="H13" s="3" t="n">
        <v>330</v>
      </c>
      <c r="I13" s="3" t="n">
        <v>350</v>
      </c>
      <c r="J13" s="3" t="n">
        <v>660</v>
      </c>
      <c r="K13" s="3" t="n">
        <v>660</v>
      </c>
      <c r="L13" s="3" t="n">
        <v>90</v>
      </c>
      <c r="M13" s="3" t="n">
        <v>0</v>
      </c>
      <c r="N13" s="3" t="inlineStr">
        <is>
          <t>90°; размер между торцами</t>
        </is>
      </c>
    </row>
    <row r="14">
      <c r="A14" s="2" t="inlineStr">
        <is>
          <t>A13</t>
        </is>
      </c>
      <c r="B14" s="2" t="inlineStr">
        <is>
          <t>40x40x2</t>
        </is>
      </c>
      <c r="C14" s="2" t="inlineStr">
        <is>
          <t>Поперечина между лонжеронами</t>
        </is>
      </c>
      <c r="D14" s="2" t="n">
        <v>900</v>
      </c>
      <c r="E14" s="2" t="n">
        <v>-630</v>
      </c>
      <c r="F14" s="2" t="n">
        <v>350</v>
      </c>
      <c r="G14" s="2" t="n">
        <v>900</v>
      </c>
      <c r="H14" s="2" t="n">
        <v>630</v>
      </c>
      <c r="I14" s="2" t="n">
        <v>350</v>
      </c>
      <c r="J14" s="2" t="n">
        <v>1260</v>
      </c>
      <c r="K14" s="2" t="n">
        <v>1260</v>
      </c>
      <c r="L14" s="2" t="n">
        <v>90</v>
      </c>
      <c r="M14" s="2" t="n">
        <v>0</v>
      </c>
      <c r="N14" s="2" t="inlineStr">
        <is>
          <t>90°; размер между торцами</t>
        </is>
      </c>
    </row>
    <row r="15">
      <c r="A15" s="3" t="inlineStr">
        <is>
          <t>A14</t>
        </is>
      </c>
      <c r="B15" s="3" t="inlineStr">
        <is>
          <t>40x40x2</t>
        </is>
      </c>
      <c r="C15" s="3" t="inlineStr">
        <is>
          <t>Поперечина между лонжеронами</t>
        </is>
      </c>
      <c r="D15" s="3" t="n">
        <v>1450</v>
      </c>
      <c r="E15" s="3" t="n">
        <v>-630</v>
      </c>
      <c r="F15" s="3" t="n">
        <v>350</v>
      </c>
      <c r="G15" s="3" t="n">
        <v>1450</v>
      </c>
      <c r="H15" s="3" t="n">
        <v>630</v>
      </c>
      <c r="I15" s="3" t="n">
        <v>350</v>
      </c>
      <c r="J15" s="3" t="n">
        <v>1260</v>
      </c>
      <c r="K15" s="3" t="n">
        <v>1260</v>
      </c>
      <c r="L15" s="3" t="n">
        <v>90</v>
      </c>
      <c r="M15" s="3" t="n">
        <v>0</v>
      </c>
      <c r="N15" s="3" t="inlineStr">
        <is>
          <t>90°; размер между торцами</t>
        </is>
      </c>
    </row>
    <row r="16">
      <c r="A16" s="2" t="inlineStr">
        <is>
          <t>A15</t>
        </is>
      </c>
      <c r="B16" s="2" t="inlineStr">
        <is>
          <t>40x40x2</t>
        </is>
      </c>
      <c r="C16" s="2" t="inlineStr">
        <is>
          <t>Поперечина между лонжеронами</t>
        </is>
      </c>
      <c r="D16" s="2" t="n">
        <v>1850</v>
      </c>
      <c r="E16" s="2" t="n">
        <v>-630</v>
      </c>
      <c r="F16" s="2" t="n">
        <v>350</v>
      </c>
      <c r="G16" s="2" t="n">
        <v>1850</v>
      </c>
      <c r="H16" s="2" t="n">
        <v>630</v>
      </c>
      <c r="I16" s="2" t="n">
        <v>350</v>
      </c>
      <c r="J16" s="2" t="n">
        <v>1260</v>
      </c>
      <c r="K16" s="2" t="n">
        <v>1260</v>
      </c>
      <c r="L16" s="2" t="n">
        <v>90</v>
      </c>
      <c r="M16" s="2" t="n">
        <v>0</v>
      </c>
      <c r="N16" s="2" t="inlineStr">
        <is>
          <t>90°; размер между торцами</t>
        </is>
      </c>
    </row>
    <row r="17">
      <c r="A17" s="3" t="inlineStr">
        <is>
          <t>A16</t>
        </is>
      </c>
      <c r="B17" s="3" t="inlineStr">
        <is>
          <t>40x40x2</t>
        </is>
      </c>
      <c r="C17" s="3" t="inlineStr">
        <is>
          <t>Поперечина между лонжеронами</t>
        </is>
      </c>
      <c r="D17" s="3" t="n">
        <v>2050</v>
      </c>
      <c r="E17" s="3" t="n">
        <v>-630</v>
      </c>
      <c r="F17" s="3" t="n">
        <v>350</v>
      </c>
      <c r="G17" s="3" t="n">
        <v>2050</v>
      </c>
      <c r="H17" s="3" t="n">
        <v>630</v>
      </c>
      <c r="I17" s="3" t="n">
        <v>350</v>
      </c>
      <c r="J17" s="3" t="n">
        <v>1260</v>
      </c>
      <c r="K17" s="3" t="n">
        <v>1260</v>
      </c>
      <c r="L17" s="3" t="n">
        <v>90</v>
      </c>
      <c r="M17" s="3" t="n">
        <v>0</v>
      </c>
      <c r="N17" s="3" t="inlineStr">
        <is>
          <t>90°; размер между торцами</t>
        </is>
      </c>
    </row>
    <row r="18">
      <c r="A18" s="2" t="inlineStr">
        <is>
          <t>A17</t>
        </is>
      </c>
      <c r="B18" s="2" t="inlineStr">
        <is>
          <t>40x40x2</t>
        </is>
      </c>
      <c r="C18" s="2" t="inlineStr">
        <is>
          <t>Поперечина между лонжеронами</t>
        </is>
      </c>
      <c r="D18" s="2" t="n">
        <v>2300</v>
      </c>
      <c r="E18" s="2" t="n">
        <v>-380</v>
      </c>
      <c r="F18" s="2" t="n">
        <v>550</v>
      </c>
      <c r="G18" s="2" t="n">
        <v>2300</v>
      </c>
      <c r="H18" s="2" t="n">
        <v>380</v>
      </c>
      <c r="I18" s="2" t="n">
        <v>550</v>
      </c>
      <c r="J18" s="2" t="n">
        <v>760</v>
      </c>
      <c r="K18" s="2" t="n">
        <v>760</v>
      </c>
      <c r="L18" s="2" t="n">
        <v>90</v>
      </c>
      <c r="M18" s="2" t="n">
        <v>0</v>
      </c>
      <c r="N18" s="2" t="inlineStr">
        <is>
          <t>90°; размер между торцами</t>
        </is>
      </c>
    </row>
    <row r="19">
      <c r="A19" s="3" t="inlineStr">
        <is>
          <t>A18</t>
        </is>
      </c>
      <c r="B19" s="3" t="inlineStr">
        <is>
          <t>40x40x2</t>
        </is>
      </c>
      <c r="C19" s="3" t="inlineStr">
        <is>
          <t>Поперечина между лонжеронами</t>
        </is>
      </c>
      <c r="D19" s="3" t="n">
        <v>2900</v>
      </c>
      <c r="E19" s="3" t="n">
        <v>-380</v>
      </c>
      <c r="F19" s="3" t="n">
        <v>550</v>
      </c>
      <c r="G19" s="3" t="n">
        <v>2900</v>
      </c>
      <c r="H19" s="3" t="n">
        <v>380</v>
      </c>
      <c r="I19" s="3" t="n">
        <v>550</v>
      </c>
      <c r="J19" s="3" t="n">
        <v>760</v>
      </c>
      <c r="K19" s="3" t="n">
        <v>760</v>
      </c>
      <c r="L19" s="3" t="n">
        <v>90</v>
      </c>
      <c r="M19" s="3" t="n">
        <v>0</v>
      </c>
      <c r="N19" s="3" t="inlineStr">
        <is>
          <t>90°; размер между торцами</t>
        </is>
      </c>
    </row>
    <row r="20">
      <c r="A20" s="2" t="inlineStr">
        <is>
          <t>A19</t>
        </is>
      </c>
      <c r="B20" s="2" t="inlineStr">
        <is>
          <t>40x40x2</t>
        </is>
      </c>
      <c r="C20" s="2" t="inlineStr">
        <is>
          <t>Поперечина между лонжеронами</t>
        </is>
      </c>
      <c r="D20" s="2" t="n">
        <v>3000</v>
      </c>
      <c r="E20" s="2" t="n">
        <v>-380</v>
      </c>
      <c r="F20" s="2" t="n">
        <v>550</v>
      </c>
      <c r="G20" s="2" t="n">
        <v>3000</v>
      </c>
      <c r="H20" s="2" t="n">
        <v>380</v>
      </c>
      <c r="I20" s="2" t="n">
        <v>550</v>
      </c>
      <c r="J20" s="2" t="n">
        <v>760</v>
      </c>
      <c r="K20" s="2" t="n">
        <v>760</v>
      </c>
      <c r="L20" s="2" t="n">
        <v>90</v>
      </c>
      <c r="M20" s="2" t="n">
        <v>0</v>
      </c>
      <c r="N20" s="2" t="inlineStr">
        <is>
          <t>90°; размер между торцами</t>
        </is>
      </c>
    </row>
    <row r="21">
      <c r="A21" s="3" t="inlineStr">
        <is>
          <t>B01L</t>
        </is>
      </c>
      <c r="B21" s="3" t="inlineStr">
        <is>
          <t>30x30x2</t>
        </is>
      </c>
      <c r="C21" s="3" t="inlineStr">
        <is>
          <t>Верх борта</t>
        </is>
      </c>
      <c r="D21" s="3" t="n">
        <v>900</v>
      </c>
      <c r="E21" s="3" t="n">
        <v>-650</v>
      </c>
      <c r="F21" s="3" t="n">
        <v>700</v>
      </c>
      <c r="G21" s="3" t="n">
        <v>2050</v>
      </c>
      <c r="H21" s="3" t="n">
        <v>-650</v>
      </c>
      <c r="I21" s="3" t="n">
        <v>700</v>
      </c>
      <c r="J21" s="3" t="n">
        <v>1150</v>
      </c>
      <c r="K21" s="3" t="n">
        <v>1210</v>
      </c>
      <c r="L21" s="3" t="n">
        <v>0</v>
      </c>
      <c r="M21" s="3" t="n">
        <v>0</v>
      </c>
      <c r="N21" s="3" t="inlineStr">
        <is>
          <t>припуск; торцы подогнать по узлу</t>
        </is>
      </c>
    </row>
    <row r="22">
      <c r="A22" s="2" t="inlineStr">
        <is>
          <t>B01R</t>
        </is>
      </c>
      <c r="B22" s="2" t="inlineStr">
        <is>
          <t>30x30x2</t>
        </is>
      </c>
      <c r="C22" s="2" t="inlineStr">
        <is>
          <t>Верх борта</t>
        </is>
      </c>
      <c r="D22" s="2" t="n">
        <v>900</v>
      </c>
      <c r="E22" s="2" t="n">
        <v>650</v>
      </c>
      <c r="F22" s="2" t="n">
        <v>700</v>
      </c>
      <c r="G22" s="2" t="n">
        <v>2050</v>
      </c>
      <c r="H22" s="2" t="n">
        <v>650</v>
      </c>
      <c r="I22" s="2" t="n">
        <v>700</v>
      </c>
      <c r="J22" s="2" t="n">
        <v>1150</v>
      </c>
      <c r="K22" s="2" t="n">
        <v>1210</v>
      </c>
      <c r="L22" s="2" t="n">
        <v>0</v>
      </c>
      <c r="M22" s="2" t="n">
        <v>0</v>
      </c>
      <c r="N22" s="2" t="inlineStr">
        <is>
          <t>припуск; торцы подогнать по узлу</t>
        </is>
      </c>
    </row>
    <row r="23">
      <c r="A23" s="3" t="inlineStr">
        <is>
          <t>B02L</t>
        </is>
      </c>
      <c r="B23" s="3" t="inlineStr">
        <is>
          <t>30x30x2</t>
        </is>
      </c>
      <c r="C23" s="3" t="inlineStr">
        <is>
          <t>Стойка борта</t>
        </is>
      </c>
      <c r="D23" s="3" t="n">
        <v>900</v>
      </c>
      <c r="E23" s="3" t="n">
        <v>-650</v>
      </c>
      <c r="F23" s="3" t="n">
        <v>370</v>
      </c>
      <c r="G23" s="3" t="n">
        <v>900</v>
      </c>
      <c r="H23" s="3" t="n">
        <v>-650</v>
      </c>
      <c r="I23" s="3" t="n">
        <v>685</v>
      </c>
      <c r="J23" s="3" t="n">
        <v>315</v>
      </c>
      <c r="K23" s="3" t="n">
        <v>315</v>
      </c>
      <c r="L23" s="3" t="n">
        <v>0</v>
      </c>
      <c r="M23" s="3" t="n">
        <v>90</v>
      </c>
      <c r="N23" s="3" t="inlineStr">
        <is>
          <t>90°; размер между торцами</t>
        </is>
      </c>
    </row>
    <row r="24">
      <c r="A24" s="2" t="inlineStr">
        <is>
          <t>B02R</t>
        </is>
      </c>
      <c r="B24" s="2" t="inlineStr">
        <is>
          <t>30x30x2</t>
        </is>
      </c>
      <c r="C24" s="2" t="inlineStr">
        <is>
          <t>Стойка борта</t>
        </is>
      </c>
      <c r="D24" s="2" t="n">
        <v>900</v>
      </c>
      <c r="E24" s="2" t="n">
        <v>650</v>
      </c>
      <c r="F24" s="2" t="n">
        <v>370</v>
      </c>
      <c r="G24" s="2" t="n">
        <v>900</v>
      </c>
      <c r="H24" s="2" t="n">
        <v>650</v>
      </c>
      <c r="I24" s="2" t="n">
        <v>685</v>
      </c>
      <c r="J24" s="2" t="n">
        <v>315</v>
      </c>
      <c r="K24" s="2" t="n">
        <v>315</v>
      </c>
      <c r="L24" s="2" t="n">
        <v>0</v>
      </c>
      <c r="M24" s="2" t="n">
        <v>90</v>
      </c>
      <c r="N24" s="2" t="inlineStr">
        <is>
          <t>90°; размер между торцами</t>
        </is>
      </c>
    </row>
    <row r="25">
      <c r="A25" s="3" t="inlineStr">
        <is>
          <t>B03L</t>
        </is>
      </c>
      <c r="B25" s="3" t="inlineStr">
        <is>
          <t>30x30x2</t>
        </is>
      </c>
      <c r="C25" s="3" t="inlineStr">
        <is>
          <t>Стойка борта</t>
        </is>
      </c>
      <c r="D25" s="3" t="n">
        <v>1450</v>
      </c>
      <c r="E25" s="3" t="n">
        <v>-650</v>
      </c>
      <c r="F25" s="3" t="n">
        <v>370</v>
      </c>
      <c r="G25" s="3" t="n">
        <v>1450</v>
      </c>
      <c r="H25" s="3" t="n">
        <v>-650</v>
      </c>
      <c r="I25" s="3" t="n">
        <v>685</v>
      </c>
      <c r="J25" s="3" t="n">
        <v>315</v>
      </c>
      <c r="K25" s="3" t="n">
        <v>315</v>
      </c>
      <c r="L25" s="3" t="n">
        <v>0</v>
      </c>
      <c r="M25" s="3" t="n">
        <v>90</v>
      </c>
      <c r="N25" s="3" t="inlineStr">
        <is>
          <t>90°; размер между торцами</t>
        </is>
      </c>
    </row>
    <row r="26">
      <c r="A26" s="2" t="inlineStr">
        <is>
          <t>B03R</t>
        </is>
      </c>
      <c r="B26" s="2" t="inlineStr">
        <is>
          <t>30x30x2</t>
        </is>
      </c>
      <c r="C26" s="2" t="inlineStr">
        <is>
          <t>Стойка борта</t>
        </is>
      </c>
      <c r="D26" s="2" t="n">
        <v>1450</v>
      </c>
      <c r="E26" s="2" t="n">
        <v>650</v>
      </c>
      <c r="F26" s="2" t="n">
        <v>370</v>
      </c>
      <c r="G26" s="2" t="n">
        <v>1450</v>
      </c>
      <c r="H26" s="2" t="n">
        <v>650</v>
      </c>
      <c r="I26" s="2" t="n">
        <v>685</v>
      </c>
      <c r="J26" s="2" t="n">
        <v>315</v>
      </c>
      <c r="K26" s="2" t="n">
        <v>315</v>
      </c>
      <c r="L26" s="2" t="n">
        <v>0</v>
      </c>
      <c r="M26" s="2" t="n">
        <v>90</v>
      </c>
      <c r="N26" s="2" t="inlineStr">
        <is>
          <t>90°; размер между торцами</t>
        </is>
      </c>
    </row>
    <row r="27">
      <c r="A27" s="3" t="inlineStr">
        <is>
          <t>B04L</t>
        </is>
      </c>
      <c r="B27" s="3" t="inlineStr">
        <is>
          <t>30x30x2</t>
        </is>
      </c>
      <c r="C27" s="3" t="inlineStr">
        <is>
          <t>Стойка борта</t>
        </is>
      </c>
      <c r="D27" s="3" t="n">
        <v>2050</v>
      </c>
      <c r="E27" s="3" t="n">
        <v>-650</v>
      </c>
      <c r="F27" s="3" t="n">
        <v>370</v>
      </c>
      <c r="G27" s="3" t="n">
        <v>2050</v>
      </c>
      <c r="H27" s="3" t="n">
        <v>-650</v>
      </c>
      <c r="I27" s="3" t="n">
        <v>685</v>
      </c>
      <c r="J27" s="3" t="n">
        <v>315</v>
      </c>
      <c r="K27" s="3" t="n">
        <v>315</v>
      </c>
      <c r="L27" s="3" t="n">
        <v>0</v>
      </c>
      <c r="M27" s="3" t="n">
        <v>90</v>
      </c>
      <c r="N27" s="3" t="inlineStr">
        <is>
          <t>90°; размер между торцами</t>
        </is>
      </c>
    </row>
    <row r="28">
      <c r="A28" s="2" t="inlineStr">
        <is>
          <t>B04R</t>
        </is>
      </c>
      <c r="B28" s="2" t="inlineStr">
        <is>
          <t>30x30x2</t>
        </is>
      </c>
      <c r="C28" s="2" t="inlineStr">
        <is>
          <t>Стойка борта</t>
        </is>
      </c>
      <c r="D28" s="2" t="n">
        <v>2050</v>
      </c>
      <c r="E28" s="2" t="n">
        <v>650</v>
      </c>
      <c r="F28" s="2" t="n">
        <v>370</v>
      </c>
      <c r="G28" s="2" t="n">
        <v>2050</v>
      </c>
      <c r="H28" s="2" t="n">
        <v>650</v>
      </c>
      <c r="I28" s="2" t="n">
        <v>685</v>
      </c>
      <c r="J28" s="2" t="n">
        <v>315</v>
      </c>
      <c r="K28" s="2" t="n">
        <v>315</v>
      </c>
      <c r="L28" s="2" t="n">
        <v>0</v>
      </c>
      <c r="M28" s="2" t="n">
        <v>90</v>
      </c>
      <c r="N28" s="2" t="inlineStr">
        <is>
          <t>90°; размер между торцами</t>
        </is>
      </c>
    </row>
    <row r="29">
      <c r="A29" s="3" t="inlineStr">
        <is>
          <t>B05L</t>
        </is>
      </c>
      <c r="B29" s="3" t="inlineStr">
        <is>
          <t>30x30x2</t>
        </is>
      </c>
      <c r="C29" s="3" t="inlineStr">
        <is>
          <t>Диагональ борта, передняя</t>
        </is>
      </c>
      <c r="D29" s="3" t="n">
        <v>900</v>
      </c>
      <c r="E29" s="3" t="n">
        <v>-650</v>
      </c>
      <c r="F29" s="3" t="n">
        <v>370</v>
      </c>
      <c r="G29" s="3" t="n">
        <v>1450</v>
      </c>
      <c r="H29" s="3" t="n">
        <v>-650</v>
      </c>
      <c r="I29" s="3" t="n">
        <v>700</v>
      </c>
      <c r="J29" s="3" t="n">
        <v>641.4</v>
      </c>
      <c r="K29" s="3" t="n">
        <v>705</v>
      </c>
      <c r="L29" s="3" t="n">
        <v>0</v>
      </c>
      <c r="M29" s="3" t="n">
        <v>30.96</v>
      </c>
      <c r="N29" s="3" t="inlineStr">
        <is>
          <t>припуск; торцы подогнать по узлу</t>
        </is>
      </c>
    </row>
    <row r="30">
      <c r="A30" s="2" t="inlineStr">
        <is>
          <t>B05R</t>
        </is>
      </c>
      <c r="B30" s="2" t="inlineStr">
        <is>
          <t>30x30x2</t>
        </is>
      </c>
      <c r="C30" s="2" t="inlineStr">
        <is>
          <t>Диагональ борта, передняя</t>
        </is>
      </c>
      <c r="D30" s="2" t="n">
        <v>900</v>
      </c>
      <c r="E30" s="2" t="n">
        <v>650</v>
      </c>
      <c r="F30" s="2" t="n">
        <v>370</v>
      </c>
      <c r="G30" s="2" t="n">
        <v>1450</v>
      </c>
      <c r="H30" s="2" t="n">
        <v>650</v>
      </c>
      <c r="I30" s="2" t="n">
        <v>700</v>
      </c>
      <c r="J30" s="2" t="n">
        <v>641.4</v>
      </c>
      <c r="K30" s="2" t="n">
        <v>705</v>
      </c>
      <c r="L30" s="2" t="n">
        <v>0</v>
      </c>
      <c r="M30" s="2" t="n">
        <v>30.96</v>
      </c>
      <c r="N30" s="2" t="inlineStr">
        <is>
          <t>припуск; торцы подогнать по узлу</t>
        </is>
      </c>
    </row>
    <row r="31">
      <c r="A31" s="3" t="inlineStr">
        <is>
          <t>B06L</t>
        </is>
      </c>
      <c r="B31" s="3" t="inlineStr">
        <is>
          <t>30x30x2</t>
        </is>
      </c>
      <c r="C31" s="3" t="inlineStr">
        <is>
          <t>Диагональ борта, задняя</t>
        </is>
      </c>
      <c r="D31" s="3" t="n">
        <v>1450</v>
      </c>
      <c r="E31" s="3" t="n">
        <v>-650</v>
      </c>
      <c r="F31" s="3" t="n">
        <v>370</v>
      </c>
      <c r="G31" s="3" t="n">
        <v>2050</v>
      </c>
      <c r="H31" s="3" t="n">
        <v>-650</v>
      </c>
      <c r="I31" s="3" t="n">
        <v>700</v>
      </c>
      <c r="J31" s="3" t="n">
        <v>684.76</v>
      </c>
      <c r="K31" s="3" t="n">
        <v>745</v>
      </c>
      <c r="L31" s="3" t="n">
        <v>0</v>
      </c>
      <c r="M31" s="3" t="n">
        <v>28.81</v>
      </c>
      <c r="N31" s="3" t="inlineStr">
        <is>
          <t>припуск; торцы подогнать по узлу</t>
        </is>
      </c>
    </row>
    <row r="32">
      <c r="A32" s="2" t="inlineStr">
        <is>
          <t>B06R</t>
        </is>
      </c>
      <c r="B32" s="2" t="inlineStr">
        <is>
          <t>30x30x2</t>
        </is>
      </c>
      <c r="C32" s="2" t="inlineStr">
        <is>
          <t>Диагональ борта, задняя</t>
        </is>
      </c>
      <c r="D32" s="2" t="n">
        <v>1450</v>
      </c>
      <c r="E32" s="2" t="n">
        <v>650</v>
      </c>
      <c r="F32" s="2" t="n">
        <v>370</v>
      </c>
      <c r="G32" s="2" t="n">
        <v>2050</v>
      </c>
      <c r="H32" s="2" t="n">
        <v>650</v>
      </c>
      <c r="I32" s="2" t="n">
        <v>700</v>
      </c>
      <c r="J32" s="2" t="n">
        <v>684.76</v>
      </c>
      <c r="K32" s="2" t="n">
        <v>745</v>
      </c>
      <c r="L32" s="2" t="n">
        <v>0</v>
      </c>
      <c r="M32" s="2" t="n">
        <v>28.81</v>
      </c>
      <c r="N32" s="2" t="inlineStr">
        <is>
          <t>припуск; торцы подогнать по узлу</t>
        </is>
      </c>
    </row>
    <row r="33">
      <c r="A33" s="3" t="inlineStr">
        <is>
          <t>B07</t>
        </is>
      </c>
      <c r="B33" s="3" t="inlineStr">
        <is>
          <t>30x30x2</t>
        </is>
      </c>
      <c r="C33" s="3" t="inlineStr">
        <is>
          <t>Диагональ пола, передняя</t>
        </is>
      </c>
      <c r="D33" s="3" t="n">
        <v>900</v>
      </c>
      <c r="E33" s="3" t="n">
        <v>-630</v>
      </c>
      <c r="F33" s="3" t="n">
        <v>350</v>
      </c>
      <c r="G33" s="3" t="n">
        <v>1450</v>
      </c>
      <c r="H33" s="3" t="n">
        <v>630</v>
      </c>
      <c r="I33" s="3" t="n">
        <v>350</v>
      </c>
      <c r="J33" s="3" t="n">
        <v>1374.81</v>
      </c>
      <c r="K33" s="3" t="n">
        <v>1435</v>
      </c>
      <c r="L33" s="3" t="n">
        <v>66.42</v>
      </c>
      <c r="M33" s="3" t="n">
        <v>0</v>
      </c>
      <c r="N33" s="3" t="inlineStr">
        <is>
          <t>припуск; торцы подогнать по узлу</t>
        </is>
      </c>
    </row>
    <row r="34">
      <c r="A34" s="2" t="inlineStr">
        <is>
          <t>B08</t>
        </is>
      </c>
      <c r="B34" s="2" t="inlineStr">
        <is>
          <t>30x30x2</t>
        </is>
      </c>
      <c r="C34" s="2" t="inlineStr">
        <is>
          <t>Диагональ пола, задняя</t>
        </is>
      </c>
      <c r="D34" s="2" t="n">
        <v>1450</v>
      </c>
      <c r="E34" s="2" t="n">
        <v>630</v>
      </c>
      <c r="F34" s="2" t="n">
        <v>350</v>
      </c>
      <c r="G34" s="2" t="n">
        <v>2050</v>
      </c>
      <c r="H34" s="2" t="n">
        <v>-630</v>
      </c>
      <c r="I34" s="2" t="n">
        <v>350</v>
      </c>
      <c r="J34" s="2" t="n">
        <v>1395.56</v>
      </c>
      <c r="K34" s="2" t="n">
        <v>1460</v>
      </c>
      <c r="L34" s="2" t="n">
        <v>-64.54000000000001</v>
      </c>
      <c r="M34" s="2" t="n">
        <v>0</v>
      </c>
      <c r="N34" s="2" t="inlineStr">
        <is>
          <t>припуск; торцы подогнать по узлу</t>
        </is>
      </c>
    </row>
    <row r="35">
      <c r="A35" s="3" t="inlineStr">
        <is>
          <t>B09L</t>
        </is>
      </c>
      <c r="B35" s="3" t="inlineStr">
        <is>
          <t>30x30x2</t>
        </is>
      </c>
      <c r="C35" s="3" t="inlineStr">
        <is>
          <t>Продольная опора моторной площадки</t>
        </is>
      </c>
      <c r="D35" s="3" t="n">
        <v>2250</v>
      </c>
      <c r="E35" s="3" t="n">
        <v>-380</v>
      </c>
      <c r="F35" s="3" t="n">
        <v>720</v>
      </c>
      <c r="G35" s="3" t="n">
        <v>2950</v>
      </c>
      <c r="H35" s="3" t="n">
        <v>-380</v>
      </c>
      <c r="I35" s="3" t="n">
        <v>720</v>
      </c>
      <c r="J35" s="3" t="n">
        <v>700</v>
      </c>
      <c r="K35" s="3" t="n">
        <v>760</v>
      </c>
      <c r="L35" s="3" t="n">
        <v>0</v>
      </c>
      <c r="M35" s="3" t="n">
        <v>0</v>
      </c>
      <c r="N35" s="3" t="inlineStr">
        <is>
          <t>припуск; торцы подогнать по узлу</t>
        </is>
      </c>
    </row>
    <row r="36">
      <c r="A36" s="2" t="inlineStr">
        <is>
          <t>B09R</t>
        </is>
      </c>
      <c r="B36" s="2" t="inlineStr">
        <is>
          <t>30x30x2</t>
        </is>
      </c>
      <c r="C36" s="2" t="inlineStr">
        <is>
          <t>Продольная опора моторной площадки</t>
        </is>
      </c>
      <c r="D36" s="2" t="n">
        <v>2250</v>
      </c>
      <c r="E36" s="2" t="n">
        <v>380</v>
      </c>
      <c r="F36" s="2" t="n">
        <v>720</v>
      </c>
      <c r="G36" s="2" t="n">
        <v>2950</v>
      </c>
      <c r="H36" s="2" t="n">
        <v>380</v>
      </c>
      <c r="I36" s="2" t="n">
        <v>720</v>
      </c>
      <c r="J36" s="2" t="n">
        <v>700</v>
      </c>
      <c r="K36" s="2" t="n">
        <v>760</v>
      </c>
      <c r="L36" s="2" t="n">
        <v>0</v>
      </c>
      <c r="M36" s="2" t="n">
        <v>0</v>
      </c>
      <c r="N36" s="2" t="inlineStr">
        <is>
          <t>припуск; торцы подогнать по узлу</t>
        </is>
      </c>
    </row>
    <row r="37">
      <c r="A37" s="3" t="inlineStr">
        <is>
          <t>B10</t>
        </is>
      </c>
      <c r="B37" s="3" t="inlineStr">
        <is>
          <t>30x30x2</t>
        </is>
      </c>
      <c r="C37" s="3" t="inlineStr">
        <is>
          <t>Поперечина моторной площадки</t>
        </is>
      </c>
      <c r="D37" s="3" t="n">
        <v>2250</v>
      </c>
      <c r="E37" s="3" t="n">
        <v>-380</v>
      </c>
      <c r="F37" s="3" t="n">
        <v>720</v>
      </c>
      <c r="G37" s="3" t="n">
        <v>2250</v>
      </c>
      <c r="H37" s="3" t="n">
        <v>380</v>
      </c>
      <c r="I37" s="3" t="n">
        <v>720</v>
      </c>
      <c r="J37" s="3" t="n">
        <v>760</v>
      </c>
      <c r="K37" s="3" t="n">
        <v>820</v>
      </c>
      <c r="L37" s="3" t="n">
        <v>90</v>
      </c>
      <c r="M37" s="3" t="n">
        <v>0</v>
      </c>
      <c r="N37" s="3" t="inlineStr">
        <is>
          <t>припуск; торцы подогнать по узлу</t>
        </is>
      </c>
    </row>
    <row r="38">
      <c r="A38" s="2" t="inlineStr">
        <is>
          <t>B11</t>
        </is>
      </c>
      <c r="B38" s="2" t="inlineStr">
        <is>
          <t>30x30x2</t>
        </is>
      </c>
      <c r="C38" s="2" t="inlineStr">
        <is>
          <t>Поперечина моторной площадки</t>
        </is>
      </c>
      <c r="D38" s="2" t="n">
        <v>2950</v>
      </c>
      <c r="E38" s="2" t="n">
        <v>-380</v>
      </c>
      <c r="F38" s="2" t="n">
        <v>720</v>
      </c>
      <c r="G38" s="2" t="n">
        <v>2950</v>
      </c>
      <c r="H38" s="2" t="n">
        <v>380</v>
      </c>
      <c r="I38" s="2" t="n">
        <v>720</v>
      </c>
      <c r="J38" s="2" t="n">
        <v>760</v>
      </c>
      <c r="K38" s="2" t="n">
        <v>820</v>
      </c>
      <c r="L38" s="2" t="n">
        <v>90</v>
      </c>
      <c r="M38" s="2" t="n">
        <v>0</v>
      </c>
      <c r="N38" s="2" t="inlineStr">
        <is>
          <t>припуск; торцы подогнать по узлу</t>
        </is>
      </c>
    </row>
    <row r="39">
      <c r="A39" s="3" t="inlineStr">
        <is>
          <t>B12L</t>
        </is>
      </c>
      <c r="B39" s="3" t="inlineStr">
        <is>
          <t>30x30x2</t>
        </is>
      </c>
      <c r="C39" s="3" t="inlineStr">
        <is>
          <t>Стойка моторной площадки</t>
        </is>
      </c>
      <c r="D39" s="3" t="n">
        <v>2300</v>
      </c>
      <c r="E39" s="3" t="n">
        <v>-380</v>
      </c>
      <c r="F39" s="3" t="n">
        <v>570</v>
      </c>
      <c r="G39" s="3" t="n">
        <v>2300</v>
      </c>
      <c r="H39" s="3" t="n">
        <v>-380</v>
      </c>
      <c r="I39" s="3" t="n">
        <v>705</v>
      </c>
      <c r="J39" s="3" t="n">
        <v>135</v>
      </c>
      <c r="K39" s="3" t="n">
        <v>135</v>
      </c>
      <c r="L39" s="3" t="n">
        <v>0</v>
      </c>
      <c r="M39" s="3" t="n">
        <v>90</v>
      </c>
      <c r="N39" s="3" t="inlineStr">
        <is>
          <t>90°; размер между торцами</t>
        </is>
      </c>
    </row>
    <row r="40">
      <c r="A40" s="2" t="inlineStr">
        <is>
          <t>B12R</t>
        </is>
      </c>
      <c r="B40" s="2" t="inlineStr">
        <is>
          <t>30x30x2</t>
        </is>
      </c>
      <c r="C40" s="2" t="inlineStr">
        <is>
          <t>Стойка моторной площадки</t>
        </is>
      </c>
      <c r="D40" s="2" t="n">
        <v>2300</v>
      </c>
      <c r="E40" s="2" t="n">
        <v>380</v>
      </c>
      <c r="F40" s="2" t="n">
        <v>570</v>
      </c>
      <c r="G40" s="2" t="n">
        <v>2300</v>
      </c>
      <c r="H40" s="2" t="n">
        <v>380</v>
      </c>
      <c r="I40" s="2" t="n">
        <v>705</v>
      </c>
      <c r="J40" s="2" t="n">
        <v>135</v>
      </c>
      <c r="K40" s="2" t="n">
        <v>135</v>
      </c>
      <c r="L40" s="2" t="n">
        <v>0</v>
      </c>
      <c r="M40" s="2" t="n">
        <v>90</v>
      </c>
      <c r="N40" s="2" t="inlineStr">
        <is>
          <t>90°; размер между торцами</t>
        </is>
      </c>
    </row>
    <row r="41">
      <c r="A41" s="3" t="inlineStr">
        <is>
          <t>B13L</t>
        </is>
      </c>
      <c r="B41" s="3" t="inlineStr">
        <is>
          <t>30x30x2</t>
        </is>
      </c>
      <c r="C41" s="3" t="inlineStr">
        <is>
          <t>Стойка моторной площадки</t>
        </is>
      </c>
      <c r="D41" s="3" t="n">
        <v>2900</v>
      </c>
      <c r="E41" s="3" t="n">
        <v>-380</v>
      </c>
      <c r="F41" s="3" t="n">
        <v>570</v>
      </c>
      <c r="G41" s="3" t="n">
        <v>2900</v>
      </c>
      <c r="H41" s="3" t="n">
        <v>-380</v>
      </c>
      <c r="I41" s="3" t="n">
        <v>705</v>
      </c>
      <c r="J41" s="3" t="n">
        <v>135</v>
      </c>
      <c r="K41" s="3" t="n">
        <v>135</v>
      </c>
      <c r="L41" s="3" t="n">
        <v>0</v>
      </c>
      <c r="M41" s="3" t="n">
        <v>90</v>
      </c>
      <c r="N41" s="3" t="inlineStr">
        <is>
          <t>90°; размер между торцами</t>
        </is>
      </c>
    </row>
    <row r="42">
      <c r="A42" s="2" t="inlineStr">
        <is>
          <t>B13R</t>
        </is>
      </c>
      <c r="B42" s="2" t="inlineStr">
        <is>
          <t>30x30x2</t>
        </is>
      </c>
      <c r="C42" s="2" t="inlineStr">
        <is>
          <t>Стойка моторной площадки</t>
        </is>
      </c>
      <c r="D42" s="2" t="n">
        <v>2900</v>
      </c>
      <c r="E42" s="2" t="n">
        <v>380</v>
      </c>
      <c r="F42" s="2" t="n">
        <v>570</v>
      </c>
      <c r="G42" s="2" t="n">
        <v>2900</v>
      </c>
      <c r="H42" s="2" t="n">
        <v>380</v>
      </c>
      <c r="I42" s="2" t="n">
        <v>705</v>
      </c>
      <c r="J42" s="2" t="n">
        <v>135</v>
      </c>
      <c r="K42" s="2" t="n">
        <v>135</v>
      </c>
      <c r="L42" s="2" t="n">
        <v>0</v>
      </c>
      <c r="M42" s="2" t="n">
        <v>90</v>
      </c>
      <c r="N42" s="2" t="inlineStr">
        <is>
          <t>90°; размер между торцами</t>
        </is>
      </c>
    </row>
    <row r="43">
      <c r="A43" s="3" t="inlineStr">
        <is>
          <t>B14L</t>
        </is>
      </c>
      <c r="B43" s="3" t="inlineStr">
        <is>
          <t>30x30x2</t>
        </is>
      </c>
      <c r="C43" s="3" t="inlineStr">
        <is>
          <t>Диагональ моторной площадки</t>
        </is>
      </c>
      <c r="D43" s="3" t="n">
        <v>2300</v>
      </c>
      <c r="E43" s="3" t="n">
        <v>-380</v>
      </c>
      <c r="F43" s="3" t="n">
        <v>550</v>
      </c>
      <c r="G43" s="3" t="n">
        <v>2950</v>
      </c>
      <c r="H43" s="3" t="n">
        <v>-380</v>
      </c>
      <c r="I43" s="3" t="n">
        <v>720</v>
      </c>
      <c r="J43" s="3" t="n">
        <v>671.86</v>
      </c>
      <c r="K43" s="3" t="n">
        <v>735</v>
      </c>
      <c r="L43" s="3" t="n">
        <v>0</v>
      </c>
      <c r="M43" s="3" t="n">
        <v>14.66</v>
      </c>
      <c r="N43" s="3" t="inlineStr">
        <is>
          <t>припуск; торцы подогнать по узлу</t>
        </is>
      </c>
    </row>
    <row r="44">
      <c r="A44" s="2" t="inlineStr">
        <is>
          <t>B14R</t>
        </is>
      </c>
      <c r="B44" s="2" t="inlineStr">
        <is>
          <t>30x30x2</t>
        </is>
      </c>
      <c r="C44" s="2" t="inlineStr">
        <is>
          <t>Диагональ моторной площадки</t>
        </is>
      </c>
      <c r="D44" s="2" t="n">
        <v>2300</v>
      </c>
      <c r="E44" s="2" t="n">
        <v>380</v>
      </c>
      <c r="F44" s="2" t="n">
        <v>550</v>
      </c>
      <c r="G44" s="2" t="n">
        <v>2950</v>
      </c>
      <c r="H44" s="2" t="n">
        <v>380</v>
      </c>
      <c r="I44" s="2" t="n">
        <v>720</v>
      </c>
      <c r="J44" s="2" t="n">
        <v>671.86</v>
      </c>
      <c r="K44" s="2" t="n">
        <v>735</v>
      </c>
      <c r="L44" s="2" t="n">
        <v>0</v>
      </c>
      <c r="M44" s="2" t="n">
        <v>14.66</v>
      </c>
      <c r="N44" s="2" t="inlineStr">
        <is>
          <t>припуск; торцы подогнать по узлу</t>
        </is>
      </c>
    </row>
    <row r="45">
      <c r="A45" s="3" t="inlineStr">
        <is>
          <t>B15</t>
        </is>
      </c>
      <c r="B45" s="3" t="inlineStr">
        <is>
          <t>30x30x2</t>
        </is>
      </c>
      <c r="C45" s="3" t="inlineStr">
        <is>
          <t>Опора под моторной плитой</t>
        </is>
      </c>
      <c r="D45" s="3" t="n">
        <v>2350</v>
      </c>
      <c r="E45" s="3" t="n">
        <v>-365</v>
      </c>
      <c r="F45" s="3" t="n">
        <v>720</v>
      </c>
      <c r="G45" s="3" t="n">
        <v>2350</v>
      </c>
      <c r="H45" s="3" t="n">
        <v>365</v>
      </c>
      <c r="I45" s="3" t="n">
        <v>720</v>
      </c>
      <c r="J45" s="3" t="n">
        <v>730</v>
      </c>
      <c r="K45" s="3" t="n">
        <v>730</v>
      </c>
      <c r="L45" s="3" t="n">
        <v>90</v>
      </c>
      <c r="M45" s="3" t="n">
        <v>0</v>
      </c>
      <c r="N45" s="3" t="inlineStr">
        <is>
          <t>90°; размер между торцами</t>
        </is>
      </c>
    </row>
    <row r="46">
      <c r="A46" s="2" t="inlineStr">
        <is>
          <t>B16</t>
        </is>
      </c>
      <c r="B46" s="2" t="inlineStr">
        <is>
          <t>30x30x2</t>
        </is>
      </c>
      <c r="C46" s="2" t="inlineStr">
        <is>
          <t>Опора под моторной плитой</t>
        </is>
      </c>
      <c r="D46" s="2" t="n">
        <v>2850</v>
      </c>
      <c r="E46" s="2" t="n">
        <v>-365</v>
      </c>
      <c r="F46" s="2" t="n">
        <v>720</v>
      </c>
      <c r="G46" s="2" t="n">
        <v>2850</v>
      </c>
      <c r="H46" s="2" t="n">
        <v>365</v>
      </c>
      <c r="I46" s="2" t="n">
        <v>720</v>
      </c>
      <c r="J46" s="2" t="n">
        <v>730</v>
      </c>
      <c r="K46" s="2" t="n">
        <v>730</v>
      </c>
      <c r="L46" s="2" t="n">
        <v>90</v>
      </c>
      <c r="M46" s="2" t="n">
        <v>0</v>
      </c>
      <c r="N46" s="2" t="inlineStr">
        <is>
          <t>90°; размер между торцами</t>
        </is>
      </c>
    </row>
    <row r="47">
      <c r="A47" s="3" t="inlineStr">
        <is>
          <t>C01</t>
        </is>
      </c>
      <c r="B47" s="3" t="inlineStr">
        <is>
          <t>25x25x2</t>
        </is>
      </c>
      <c r="C47" s="3" t="inlineStr">
        <is>
          <t>Опора панели / площадки педалей</t>
        </is>
      </c>
      <c r="D47" s="3" t="n">
        <v>600</v>
      </c>
      <c r="E47" s="3" t="n">
        <v>-320</v>
      </c>
      <c r="F47" s="3" t="n">
        <v>410</v>
      </c>
      <c r="G47" s="3" t="n">
        <v>600</v>
      </c>
      <c r="H47" s="3" t="n">
        <v>320</v>
      </c>
      <c r="I47" s="3" t="n">
        <v>410</v>
      </c>
      <c r="J47" s="3" t="n">
        <v>640</v>
      </c>
      <c r="K47" s="3" t="n">
        <v>700</v>
      </c>
      <c r="L47" s="3" t="n">
        <v>90</v>
      </c>
      <c r="M47" s="3" t="n">
        <v>0</v>
      </c>
      <c r="N47" s="3" t="inlineStr">
        <is>
          <t>припуск; торцы подогнать по узлу</t>
        </is>
      </c>
    </row>
    <row r="48">
      <c r="A48" s="2" t="inlineStr">
        <is>
          <t>C02</t>
        </is>
      </c>
      <c r="B48" s="2" t="inlineStr">
        <is>
          <t>25x25x2</t>
        </is>
      </c>
      <c r="C48" s="2" t="inlineStr">
        <is>
          <t>Опора панели / площадки педалей</t>
        </is>
      </c>
      <c r="D48" s="2" t="n">
        <v>1050</v>
      </c>
      <c r="E48" s="2" t="n">
        <v>-320</v>
      </c>
      <c r="F48" s="2" t="n">
        <v>410</v>
      </c>
      <c r="G48" s="2" t="n">
        <v>1050</v>
      </c>
      <c r="H48" s="2" t="n">
        <v>320</v>
      </c>
      <c r="I48" s="2" t="n">
        <v>410</v>
      </c>
      <c r="J48" s="2" t="n">
        <v>640</v>
      </c>
      <c r="K48" s="2" t="n">
        <v>700</v>
      </c>
      <c r="L48" s="2" t="n">
        <v>90</v>
      </c>
      <c r="M48" s="2" t="n">
        <v>0</v>
      </c>
      <c r="N48" s="2" t="inlineStr">
        <is>
          <t>припуск; торцы подогнать по узлу</t>
        </is>
      </c>
    </row>
    <row r="49">
      <c r="A49" s="3" t="inlineStr">
        <is>
          <t>C03</t>
        </is>
      </c>
      <c r="B49" s="3" t="inlineStr">
        <is>
          <t>25x25x2</t>
        </is>
      </c>
      <c r="C49" s="3" t="inlineStr">
        <is>
          <t>Поперечина панели приборов</t>
        </is>
      </c>
      <c r="D49" s="3" t="n">
        <v>1050</v>
      </c>
      <c r="E49" s="3" t="n">
        <v>-620</v>
      </c>
      <c r="F49" s="3" t="n">
        <v>850</v>
      </c>
      <c r="G49" s="3" t="n">
        <v>1050</v>
      </c>
      <c r="H49" s="3" t="n">
        <v>620</v>
      </c>
      <c r="I49" s="3" t="n">
        <v>850</v>
      </c>
      <c r="J49" s="3" t="n">
        <v>1240</v>
      </c>
      <c r="K49" s="3" t="n">
        <v>1300</v>
      </c>
      <c r="L49" s="3" t="n">
        <v>90</v>
      </c>
      <c r="M49" s="3" t="n">
        <v>0</v>
      </c>
      <c r="N49" s="3" t="inlineStr">
        <is>
          <t>припуск; торцы подогнать по узлу</t>
        </is>
      </c>
    </row>
    <row r="50">
      <c r="A50" s="2" t="inlineStr">
        <is>
          <t>C04L</t>
        </is>
      </c>
      <c r="B50" s="2" t="inlineStr">
        <is>
          <t>25x25x2</t>
        </is>
      </c>
      <c r="C50" s="2" t="inlineStr">
        <is>
          <t>Опора панели</t>
        </is>
      </c>
      <c r="D50" s="2" t="n">
        <v>900</v>
      </c>
      <c r="E50" s="2" t="n">
        <v>-650</v>
      </c>
      <c r="F50" s="2" t="n">
        <v>700</v>
      </c>
      <c r="G50" s="2" t="n">
        <v>1050</v>
      </c>
      <c r="H50" s="2" t="n">
        <v>-620</v>
      </c>
      <c r="I50" s="2" t="n">
        <v>850</v>
      </c>
      <c r="J50" s="2" t="n">
        <v>214.24</v>
      </c>
      <c r="K50" s="2" t="n">
        <v>275</v>
      </c>
      <c r="L50" s="2" t="n">
        <v>11.31</v>
      </c>
      <c r="M50" s="2" t="n">
        <v>44.44</v>
      </c>
      <c r="N50" s="2" t="inlineStr">
        <is>
          <t>припуск; торцы подогнать по узлу</t>
        </is>
      </c>
    </row>
    <row r="51">
      <c r="A51" s="3" t="inlineStr">
        <is>
          <t>C04R</t>
        </is>
      </c>
      <c r="B51" s="3" t="inlineStr">
        <is>
          <t>25x25x2</t>
        </is>
      </c>
      <c r="C51" s="3" t="inlineStr">
        <is>
          <t>Опора панели</t>
        </is>
      </c>
      <c r="D51" s="3" t="n">
        <v>900</v>
      </c>
      <c r="E51" s="3" t="n">
        <v>650</v>
      </c>
      <c r="F51" s="3" t="n">
        <v>700</v>
      </c>
      <c r="G51" s="3" t="n">
        <v>1050</v>
      </c>
      <c r="H51" s="3" t="n">
        <v>620</v>
      </c>
      <c r="I51" s="3" t="n">
        <v>850</v>
      </c>
      <c r="J51" s="3" t="n">
        <v>214.24</v>
      </c>
      <c r="K51" s="3" t="n">
        <v>275</v>
      </c>
      <c r="L51" s="3" t="n">
        <v>-11.31</v>
      </c>
      <c r="M51" s="3" t="n">
        <v>44.44</v>
      </c>
      <c r="N51" s="3" t="inlineStr">
        <is>
          <t>припуск; торцы подогнать по узлу</t>
        </is>
      </c>
    </row>
    <row r="52">
      <c r="A52" s="2" t="inlineStr">
        <is>
          <t>D01</t>
        </is>
      </c>
      <c r="B52" s="2" t="inlineStr">
        <is>
          <t>45x3</t>
        </is>
      </c>
      <c r="C52" s="2" t="inlineStr">
        <is>
          <t>Главная дуга</t>
        </is>
      </c>
      <c r="D52" s="2" t="n">
        <v>2050</v>
      </c>
      <c r="E52" s="2" t="n">
        <v>-650</v>
      </c>
      <c r="F52" s="2" t="n">
        <v>370</v>
      </c>
      <c r="G52" s="2" t="n">
        <v>2050</v>
      </c>
      <c r="H52" s="2" t="n">
        <v>650</v>
      </c>
      <c r="I52" s="2" t="n">
        <v>370</v>
      </c>
      <c r="J52" s="2" t="n">
        <v>3931.24</v>
      </c>
      <c r="K52" s="2" t="n">
        <v>4060</v>
      </c>
      <c r="L52" s="2" t="inlineStr"/>
      <c r="M52" s="2" t="inlineStr"/>
      <c r="N52" s="2" t="inlineStr">
        <is>
          <t>2 гиба 90°; R по оси 150; торцы подрезать после гибки</t>
        </is>
      </c>
    </row>
    <row r="53">
      <c r="A53" s="3" t="inlineStr">
        <is>
          <t>D02</t>
        </is>
      </c>
      <c r="B53" s="3" t="inlineStr">
        <is>
          <t>45x3</t>
        </is>
      </c>
      <c r="C53" s="3" t="inlineStr">
        <is>
          <t>Передняя наклонная дуга</t>
        </is>
      </c>
      <c r="D53" s="3" t="n">
        <v>900</v>
      </c>
      <c r="E53" s="3" t="n">
        <v>-650</v>
      </c>
      <c r="F53" s="3" t="n">
        <v>715</v>
      </c>
      <c r="G53" s="3" t="n">
        <v>900</v>
      </c>
      <c r="H53" s="3" t="n">
        <v>650</v>
      </c>
      <c r="I53" s="3" t="n">
        <v>715</v>
      </c>
      <c r="J53" s="3" t="n">
        <v>3040.17</v>
      </c>
      <c r="K53" s="3" t="n">
        <v>3170</v>
      </c>
      <c r="L53" s="3" t="inlineStr"/>
      <c r="M53" s="3" t="inlineStr"/>
      <c r="N53" s="3" t="inlineStr">
        <is>
          <t>2 гиба 90°; R по оси 150; торцы подрезать после гибки</t>
        </is>
      </c>
    </row>
    <row r="54">
      <c r="A54" s="2" t="inlineStr">
        <is>
          <t>D03L</t>
        </is>
      </c>
      <c r="B54" s="2" t="inlineStr">
        <is>
          <t>45x3</t>
        </is>
      </c>
      <c r="C54" s="2" t="inlineStr">
        <is>
          <t>Продольная связь крыши</t>
        </is>
      </c>
      <c r="D54" s="2" t="n">
        <v>1200</v>
      </c>
      <c r="E54" s="2" t="n">
        <v>-500</v>
      </c>
      <c r="F54" s="2" t="n">
        <v>1600</v>
      </c>
      <c r="G54" s="2" t="n">
        <v>2050</v>
      </c>
      <c r="H54" s="2" t="n">
        <v>-500</v>
      </c>
      <c r="I54" s="2" t="n">
        <v>1750</v>
      </c>
      <c r="J54" s="2" t="n">
        <v>863.13</v>
      </c>
      <c r="K54" s="2" t="n">
        <v>925</v>
      </c>
      <c r="L54" s="2" t="n">
        <v>0</v>
      </c>
      <c r="M54" s="2" t="n">
        <v>10.01</v>
      </c>
      <c r="N54" s="2" t="inlineStr">
        <is>
          <t>припуск; торцы подогнать по узлу</t>
        </is>
      </c>
    </row>
    <row r="55">
      <c r="A55" s="3" t="inlineStr">
        <is>
          <t>D03R</t>
        </is>
      </c>
      <c r="B55" s="3" t="inlineStr">
        <is>
          <t>45x3</t>
        </is>
      </c>
      <c r="C55" s="3" t="inlineStr">
        <is>
          <t>Продольная связь крыши</t>
        </is>
      </c>
      <c r="D55" s="3" t="n">
        <v>1200</v>
      </c>
      <c r="E55" s="3" t="n">
        <v>500</v>
      </c>
      <c r="F55" s="3" t="n">
        <v>1600</v>
      </c>
      <c r="G55" s="3" t="n">
        <v>2050</v>
      </c>
      <c r="H55" s="3" t="n">
        <v>500</v>
      </c>
      <c r="I55" s="3" t="n">
        <v>1750</v>
      </c>
      <c r="J55" s="3" t="n">
        <v>863.13</v>
      </c>
      <c r="K55" s="3" t="n">
        <v>925</v>
      </c>
      <c r="L55" s="3" t="n">
        <v>0</v>
      </c>
      <c r="M55" s="3" t="n">
        <v>10.01</v>
      </c>
      <c r="N55" s="3" t="inlineStr">
        <is>
          <t>припуск; торцы подогнать по узлу</t>
        </is>
      </c>
    </row>
    <row r="56">
      <c r="A56" s="2" t="inlineStr">
        <is>
          <t>D04L</t>
        </is>
      </c>
      <c r="B56" s="2" t="inlineStr">
        <is>
          <t>45x3</t>
        </is>
      </c>
      <c r="C56" s="2" t="inlineStr">
        <is>
          <t>Задний подкос</t>
        </is>
      </c>
      <c r="D56" s="2" t="n">
        <v>2050</v>
      </c>
      <c r="E56" s="2" t="n">
        <v>-500</v>
      </c>
      <c r="F56" s="2" t="n">
        <v>1750</v>
      </c>
      <c r="G56" s="2" t="n">
        <v>2950</v>
      </c>
      <c r="H56" s="2" t="n">
        <v>-400</v>
      </c>
      <c r="I56" s="2" t="n">
        <v>550</v>
      </c>
      <c r="J56" s="2" t="n">
        <v>1503.33</v>
      </c>
      <c r="K56" s="2" t="n">
        <v>1565</v>
      </c>
      <c r="L56" s="2" t="n">
        <v>6.34</v>
      </c>
      <c r="M56" s="2" t="n">
        <v>-52.96</v>
      </c>
      <c r="N56" s="2" t="inlineStr">
        <is>
          <t>припуск; торцы подогнать по узлу</t>
        </is>
      </c>
    </row>
    <row r="57">
      <c r="A57" s="3" t="inlineStr">
        <is>
          <t>D04R</t>
        </is>
      </c>
      <c r="B57" s="3" t="inlineStr">
        <is>
          <t>45x3</t>
        </is>
      </c>
      <c r="C57" s="3" t="inlineStr">
        <is>
          <t>Задний подкос</t>
        </is>
      </c>
      <c r="D57" s="3" t="n">
        <v>2050</v>
      </c>
      <c r="E57" s="3" t="n">
        <v>500</v>
      </c>
      <c r="F57" s="3" t="n">
        <v>1750</v>
      </c>
      <c r="G57" s="3" t="n">
        <v>2950</v>
      </c>
      <c r="H57" s="3" t="n">
        <v>400</v>
      </c>
      <c r="I57" s="3" t="n">
        <v>550</v>
      </c>
      <c r="J57" s="3" t="n">
        <v>1503.33</v>
      </c>
      <c r="K57" s="3" t="n">
        <v>1565</v>
      </c>
      <c r="L57" s="3" t="n">
        <v>-6.34</v>
      </c>
      <c r="M57" s="3" t="n">
        <v>-52.96</v>
      </c>
      <c r="N57" s="3" t="inlineStr">
        <is>
          <t>припуск; торцы подогнать по узлу</t>
        </is>
      </c>
    </row>
    <row r="58">
      <c r="A58" s="2" t="inlineStr">
        <is>
          <t>D05</t>
        </is>
      </c>
      <c r="B58" s="2" t="inlineStr">
        <is>
          <t>45x3</t>
        </is>
      </c>
      <c r="C58" s="2" t="inlineStr">
        <is>
          <t>Диагональ главной дуги</t>
        </is>
      </c>
      <c r="D58" s="2" t="n">
        <v>2050</v>
      </c>
      <c r="E58" s="2" t="n">
        <v>-650</v>
      </c>
      <c r="F58" s="2" t="n">
        <v>410</v>
      </c>
      <c r="G58" s="2" t="n">
        <v>2050</v>
      </c>
      <c r="H58" s="2" t="n">
        <v>500</v>
      </c>
      <c r="I58" s="2" t="n">
        <v>1750</v>
      </c>
      <c r="J58" s="2" t="n">
        <v>1765.81</v>
      </c>
      <c r="K58" s="2" t="n">
        <v>1830</v>
      </c>
      <c r="L58" s="2" t="n">
        <v>90</v>
      </c>
      <c r="M58" s="2" t="n">
        <v>49.36</v>
      </c>
      <c r="N58" s="2" t="inlineStr">
        <is>
          <t>припуск; торцы подогнать по узлу</t>
        </is>
      </c>
    </row>
    <row r="59">
      <c r="A59" s="3" t="inlineStr">
        <is>
          <t>D06</t>
        </is>
      </c>
      <c r="B59" s="3" t="inlineStr">
        <is>
          <t>45x3</t>
        </is>
      </c>
      <c r="C59" s="3" t="inlineStr">
        <is>
          <t>Диагональ крыши</t>
        </is>
      </c>
      <c r="D59" s="3" t="n">
        <v>1200</v>
      </c>
      <c r="E59" s="3" t="n">
        <v>-500</v>
      </c>
      <c r="F59" s="3" t="n">
        <v>1600</v>
      </c>
      <c r="G59" s="3" t="n">
        <v>2050</v>
      </c>
      <c r="H59" s="3" t="n">
        <v>500</v>
      </c>
      <c r="I59" s="3" t="n">
        <v>1750</v>
      </c>
      <c r="J59" s="3" t="n">
        <v>1320.98</v>
      </c>
      <c r="K59" s="3" t="n">
        <v>1385</v>
      </c>
      <c r="L59" s="3" t="n">
        <v>49.64</v>
      </c>
      <c r="M59" s="3" t="n">
        <v>6.52</v>
      </c>
      <c r="N59" s="3" t="inlineStr">
        <is>
          <t>припуск; торцы подогнать по узлу</t>
        </is>
      </c>
    </row>
    <row r="60">
      <c r="A60" s="2" t="inlineStr">
        <is>
          <t>D07</t>
        </is>
      </c>
      <c r="B60" s="2" t="inlineStr">
        <is>
          <t>45x3</t>
        </is>
      </c>
      <c r="C60" s="2" t="inlineStr">
        <is>
          <t>Поперечная связь; высота ремней по инструкции</t>
        </is>
      </c>
      <c r="D60" s="2" t="n">
        <v>2050</v>
      </c>
      <c r="E60" s="2" t="n">
        <v>-650</v>
      </c>
      <c r="F60" s="2" t="n">
        <v>1100</v>
      </c>
      <c r="G60" s="2" t="n">
        <v>2050</v>
      </c>
      <c r="H60" s="2" t="n">
        <v>650</v>
      </c>
      <c r="I60" s="2" t="n">
        <v>1100</v>
      </c>
      <c r="J60" s="2" t="n">
        <v>1300</v>
      </c>
      <c r="K60" s="2" t="n">
        <v>1360</v>
      </c>
      <c r="L60" s="2" t="n">
        <v>90</v>
      </c>
      <c r="M60" s="2" t="n">
        <v>0</v>
      </c>
      <c r="N60" s="2" t="inlineStr">
        <is>
          <t>припуск; торцы подогнать по узлу</t>
        </is>
      </c>
    </row>
  </sheetData>
  <autoFilter ref="A1:N60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.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.2" customWidth="1" min="9" max="9"/>
  </cols>
  <sheetData>
    <row r="1" ht="32" customHeight="1">
      <c r="A1" s="1" t="inlineStr">
        <is>
          <t>Сечение</t>
        </is>
      </c>
      <c r="B1" s="1" t="inlineStr">
        <is>
          <t>Геометрический метраж</t>
        </is>
      </c>
      <c r="C1" s="1" t="inlineStr">
        <is>
          <t>Метраж заготовок</t>
        </is>
      </c>
      <c r="D1" s="1" t="inlineStr">
        <is>
          <t>Хлыстов 6м</t>
        </is>
      </c>
      <c r="E1" s="1" t="inlineStr">
        <is>
          <t>Купить, м</t>
        </is>
      </c>
      <c r="F1" s="1" t="inlineStr">
        <is>
          <t>В раме, кг*</t>
        </is>
      </c>
      <c r="G1" s="1" t="inlineStr">
        <is>
          <t>Закупка, кг*</t>
        </is>
      </c>
      <c r="H1" s="1" t="inlineStr">
        <is>
          <t>Оценка ₽/м</t>
        </is>
      </c>
      <c r="I1" s="1" t="inlineStr">
        <is>
          <t>Оценка стоимости, ₽</t>
        </is>
      </c>
    </row>
    <row r="2">
      <c r="A2" s="2" t="inlineStr">
        <is>
          <t>40x40x2</t>
        </is>
      </c>
      <c r="B2" s="2" t="n">
        <v>15.233</v>
      </c>
      <c r="C2" s="2" t="n">
        <v>15.85</v>
      </c>
      <c r="D2" s="2" t="n">
        <v>3</v>
      </c>
      <c r="E2" s="2" t="n">
        <v>18</v>
      </c>
      <c r="F2" s="2" t="n">
        <v>35.5</v>
      </c>
      <c r="G2" s="2" t="n">
        <v>41.9</v>
      </c>
      <c r="H2" s="2" t="n">
        <v>176.82</v>
      </c>
      <c r="I2" s="2">
        <f>E2*H2</f>
        <v/>
      </c>
    </row>
    <row r="3">
      <c r="A3" s="3" t="inlineStr">
        <is>
          <t>30x30x2</t>
        </is>
      </c>
      <c r="B3" s="3" t="n">
        <v>15.876</v>
      </c>
      <c r="C3" s="3" t="n">
        <v>16.735</v>
      </c>
      <c r="D3" s="3" t="n">
        <v>3</v>
      </c>
      <c r="E3" s="3" t="n">
        <v>18</v>
      </c>
      <c r="F3" s="3" t="n">
        <v>27.8</v>
      </c>
      <c r="G3" s="3" t="n">
        <v>31.5</v>
      </c>
      <c r="H3" s="3" t="n">
        <v>132.81</v>
      </c>
      <c r="I3" s="3">
        <f>E3*H3</f>
        <v/>
      </c>
    </row>
    <row r="4">
      <c r="A4" s="2" t="inlineStr">
        <is>
          <t>25x25x2</t>
        </is>
      </c>
      <c r="B4" s="2" t="n">
        <v>2.948</v>
      </c>
      <c r="C4" s="2" t="n">
        <v>3.25</v>
      </c>
      <c r="D4" s="2" t="n">
        <v>1</v>
      </c>
      <c r="E4" s="2" t="n">
        <v>6</v>
      </c>
      <c r="F4" s="2" t="n">
        <v>4.1</v>
      </c>
      <c r="G4" s="2" t="n">
        <v>8.4</v>
      </c>
      <c r="H4" s="2" t="n">
        <v>106.25</v>
      </c>
      <c r="I4" s="2">
        <f>E4*H4</f>
        <v/>
      </c>
    </row>
    <row r="5">
      <c r="A5" s="3" t="inlineStr">
        <is>
          <t>45x3</t>
        </is>
      </c>
      <c r="B5" s="3" t="n">
        <v>16.091</v>
      </c>
      <c r="C5" s="3" t="n">
        <v>16.785</v>
      </c>
      <c r="D5" s="3" t="n">
        <v>3</v>
      </c>
      <c r="E5" s="3" t="n">
        <v>18</v>
      </c>
      <c r="F5" s="3" t="n">
        <v>50</v>
      </c>
      <c r="G5" s="3" t="n">
        <v>56</v>
      </c>
      <c r="H5" s="3" t="n">
        <v>550</v>
      </c>
      <c r="I5" s="3">
        <f>E5*H5</f>
        <v/>
      </c>
    </row>
    <row r="6">
      <c r="A6" s="2" t="inlineStr">
        <is>
          <t>Итого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SUM(F2:F5)</f>
        <v/>
      </c>
      <c r="G6" s="2">
        <f>SUM(G2:G5)</f>
        <v/>
      </c>
      <c r="H6" s="2" t="inlineStr"/>
      <c r="I6" s="2">
        <f>SUM(I2:I5)</f>
        <v/>
      </c>
    </row>
    <row r="7">
      <c r="A7" s="3" t="inlineStr">
        <is>
          <t>* Масса по длинам и сортаменту, без вычетов седловин. 550 ₽/м для 45×3 — расчётный резерв, не найденная розничная цена.</t>
        </is>
      </c>
      <c r="B7" s="3" t="n"/>
      <c r="C7" s="3" t="n"/>
      <c r="D7" s="3" t="n"/>
      <c r="E7" s="3" t="n"/>
      <c r="F7" s="3" t="n"/>
      <c r="G7" s="3" t="n"/>
      <c r="H7" s="3" t="n"/>
      <c r="I7" s="3" t="n"/>
    </row>
  </sheetData>
  <autoFilter ref="A1:I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.2" customWidth="1" min="4" max="4"/>
    <col width="15.2" customWidth="1" min="5" max="5"/>
    <col width="15.2" customWidth="1" min="6" max="6"/>
    <col width="13" customWidth="1" min="7" max="7"/>
    <col width="14.4" customWidth="1" min="8" max="8"/>
  </cols>
  <sheetData>
    <row r="1" ht="32" customHeight="1">
      <c r="A1" s="1" t="inlineStr">
        <is>
          <t>Сечение</t>
        </is>
      </c>
      <c r="B1" s="1" t="inlineStr">
        <is>
          <t>Хлыст</t>
        </is>
      </c>
      <c r="C1" s="1" t="inlineStr">
        <is>
          <t>ID детали</t>
        </is>
      </c>
      <c r="D1" s="1" t="inlineStr">
        <is>
          <t>Начало от торца, мм</t>
        </is>
      </c>
      <c r="E1" s="1" t="inlineStr">
        <is>
          <t>Длина заготовки, мм</t>
        </is>
      </c>
      <c r="F1" s="1" t="inlineStr">
        <is>
          <t>Конец заготовки, мм</t>
        </is>
      </c>
      <c r="G1" s="1" t="inlineStr">
        <is>
          <t>Пропил, мм</t>
        </is>
      </c>
      <c r="H1" s="1" t="inlineStr">
        <is>
          <t>Остаток хлыста, мм</t>
        </is>
      </c>
    </row>
    <row r="2">
      <c r="A2" s="2" t="inlineStr">
        <is>
          <t>40x40x2</t>
        </is>
      </c>
      <c r="B2" s="2" t="n">
        <v>1</v>
      </c>
      <c r="C2" s="2" t="inlineStr">
        <is>
          <t>A13</t>
        </is>
      </c>
      <c r="D2" s="2" t="n">
        <v>10</v>
      </c>
      <c r="E2" s="2" t="n">
        <v>1260</v>
      </c>
      <c r="F2" s="2" t="n">
        <v>1270</v>
      </c>
      <c r="G2" s="2" t="n">
        <v>3</v>
      </c>
      <c r="H2" s="2" t="inlineStr"/>
    </row>
    <row r="3">
      <c r="A3" s="3" t="inlineStr">
        <is>
          <t>40x40x2</t>
        </is>
      </c>
      <c r="B3" s="3" t="n">
        <v>1</v>
      </c>
      <c r="C3" s="3" t="inlineStr">
        <is>
          <t>A14</t>
        </is>
      </c>
      <c r="D3" s="3" t="n">
        <v>1273</v>
      </c>
      <c r="E3" s="3" t="n">
        <v>1260</v>
      </c>
      <c r="F3" s="3" t="n">
        <v>2533</v>
      </c>
      <c r="G3" s="3" t="n">
        <v>3</v>
      </c>
      <c r="H3" s="3" t="inlineStr"/>
    </row>
    <row r="4">
      <c r="A4" s="2" t="inlineStr">
        <is>
          <t>40x40x2</t>
        </is>
      </c>
      <c r="B4" s="2" t="n">
        <v>1</v>
      </c>
      <c r="C4" s="2" t="inlineStr">
        <is>
          <t>A15</t>
        </is>
      </c>
      <c r="D4" s="2" t="n">
        <v>2536</v>
      </c>
      <c r="E4" s="2" t="n">
        <v>1260</v>
      </c>
      <c r="F4" s="2" t="n">
        <v>3796</v>
      </c>
      <c r="G4" s="2" t="n">
        <v>3</v>
      </c>
      <c r="H4" s="2" t="inlineStr"/>
    </row>
    <row r="5">
      <c r="A5" s="3" t="inlineStr">
        <is>
          <t>40x40x2</t>
        </is>
      </c>
      <c r="B5" s="3" t="n">
        <v>1</v>
      </c>
      <c r="C5" s="3" t="inlineStr">
        <is>
          <t>A16</t>
        </is>
      </c>
      <c r="D5" s="3" t="n">
        <v>3799</v>
      </c>
      <c r="E5" s="3" t="n">
        <v>1260</v>
      </c>
      <c r="F5" s="3" t="n">
        <v>5059</v>
      </c>
      <c r="G5" s="3" t="n">
        <v>3</v>
      </c>
      <c r="H5" s="3" t="inlineStr"/>
    </row>
    <row r="6">
      <c r="A6" s="2" t="inlineStr">
        <is>
          <t>40x40x2</t>
        </is>
      </c>
      <c r="B6" s="2" t="n">
        <v>1</v>
      </c>
      <c r="C6" s="2" t="inlineStr">
        <is>
          <t>A05L</t>
        </is>
      </c>
      <c r="D6" s="2" t="n">
        <v>5062</v>
      </c>
      <c r="E6" s="2" t="n">
        <v>760</v>
      </c>
      <c r="F6" s="2" t="n">
        <v>5822</v>
      </c>
      <c r="G6" s="2" t="n">
        <v>3</v>
      </c>
      <c r="H6" s="2" t="inlineStr"/>
    </row>
    <row r="7">
      <c r="A7" s="3" t="inlineStr">
        <is>
          <t>40x40x2</t>
        </is>
      </c>
      <c r="B7" s="3" t="n">
        <v>1</v>
      </c>
      <c r="C7" s="3" t="inlineStr">
        <is>
          <t>Остаток</t>
        </is>
      </c>
      <c r="D7" s="3" t="n">
        <v>5825</v>
      </c>
      <c r="E7" s="3" t="inlineStr"/>
      <c r="F7" s="3" t="inlineStr"/>
      <c r="G7" s="3" t="n">
        <v>0</v>
      </c>
      <c r="H7" s="3" t="n">
        <v>165</v>
      </c>
    </row>
    <row r="8">
      <c r="A8" s="2" t="inlineStr">
        <is>
          <t>40x40x2</t>
        </is>
      </c>
      <c r="B8" s="2" t="n">
        <v>2</v>
      </c>
      <c r="C8" s="2" t="inlineStr">
        <is>
          <t>A03L</t>
        </is>
      </c>
      <c r="D8" s="2" t="n">
        <v>10</v>
      </c>
      <c r="E8" s="2" t="n">
        <v>1210</v>
      </c>
      <c r="F8" s="2" t="n">
        <v>1220</v>
      </c>
      <c r="G8" s="2" t="n">
        <v>3</v>
      </c>
      <c r="H8" s="2" t="inlineStr"/>
    </row>
    <row r="9">
      <c r="A9" s="3" t="inlineStr">
        <is>
          <t>40x40x2</t>
        </is>
      </c>
      <c r="B9" s="3" t="n">
        <v>2</v>
      </c>
      <c r="C9" s="3" t="inlineStr">
        <is>
          <t>A03R</t>
        </is>
      </c>
      <c r="D9" s="3" t="n">
        <v>1223</v>
      </c>
      <c r="E9" s="3" t="n">
        <v>1210</v>
      </c>
      <c r="F9" s="3" t="n">
        <v>2433</v>
      </c>
      <c r="G9" s="3" t="n">
        <v>3</v>
      </c>
      <c r="H9" s="3" t="inlineStr"/>
    </row>
    <row r="10">
      <c r="A10" s="2" t="inlineStr">
        <is>
          <t>40x40x2</t>
        </is>
      </c>
      <c r="B10" s="2" t="n">
        <v>2</v>
      </c>
      <c r="C10" s="2" t="inlineStr">
        <is>
          <t>A05R</t>
        </is>
      </c>
      <c r="D10" s="2" t="n">
        <v>2436</v>
      </c>
      <c r="E10" s="2" t="n">
        <v>760</v>
      </c>
      <c r="F10" s="2" t="n">
        <v>3196</v>
      </c>
      <c r="G10" s="2" t="n">
        <v>3</v>
      </c>
      <c r="H10" s="2" t="inlineStr"/>
    </row>
    <row r="11">
      <c r="A11" s="3" t="inlineStr">
        <is>
          <t>40x40x2</t>
        </is>
      </c>
      <c r="B11" s="3" t="n">
        <v>2</v>
      </c>
      <c r="C11" s="3" t="inlineStr">
        <is>
          <t>A17</t>
        </is>
      </c>
      <c r="D11" s="3" t="n">
        <v>3199</v>
      </c>
      <c r="E11" s="3" t="n">
        <v>760</v>
      </c>
      <c r="F11" s="3" t="n">
        <v>3959</v>
      </c>
      <c r="G11" s="3" t="n">
        <v>3</v>
      </c>
      <c r="H11" s="3" t="inlineStr"/>
    </row>
    <row r="12">
      <c r="A12" s="2" t="inlineStr">
        <is>
          <t>40x40x2</t>
        </is>
      </c>
      <c r="B12" s="2" t="n">
        <v>2</v>
      </c>
      <c r="C12" s="2" t="inlineStr">
        <is>
          <t>A18</t>
        </is>
      </c>
      <c r="D12" s="2" t="n">
        <v>3962</v>
      </c>
      <c r="E12" s="2" t="n">
        <v>760</v>
      </c>
      <c r="F12" s="2" t="n">
        <v>4722</v>
      </c>
      <c r="G12" s="2" t="n">
        <v>3</v>
      </c>
      <c r="H12" s="2" t="inlineStr"/>
    </row>
    <row r="13">
      <c r="A13" s="3" t="inlineStr">
        <is>
          <t>40x40x2</t>
        </is>
      </c>
      <c r="B13" s="3" t="n">
        <v>2</v>
      </c>
      <c r="C13" s="3" t="inlineStr">
        <is>
          <t>A19</t>
        </is>
      </c>
      <c r="D13" s="3" t="n">
        <v>4725</v>
      </c>
      <c r="E13" s="3" t="n">
        <v>760</v>
      </c>
      <c r="F13" s="3" t="n">
        <v>5485</v>
      </c>
      <c r="G13" s="3" t="n">
        <v>3</v>
      </c>
      <c r="H13" s="3" t="inlineStr"/>
    </row>
    <row r="14">
      <c r="A14" s="2" t="inlineStr">
        <is>
          <t>40x40x2</t>
        </is>
      </c>
      <c r="B14" s="2" t="n">
        <v>2</v>
      </c>
      <c r="C14" s="2" t="inlineStr">
        <is>
          <t>A04L</t>
        </is>
      </c>
      <c r="D14" s="2" t="n">
        <v>5488</v>
      </c>
      <c r="E14" s="2" t="n">
        <v>470</v>
      </c>
      <c r="F14" s="2" t="n">
        <v>5958</v>
      </c>
      <c r="G14" s="2" t="n">
        <v>3</v>
      </c>
      <c r="H14" s="2" t="inlineStr"/>
    </row>
    <row r="15">
      <c r="A15" s="3" t="inlineStr">
        <is>
          <t>40x40x2</t>
        </is>
      </c>
      <c r="B15" s="3" t="n">
        <v>2</v>
      </c>
      <c r="C15" s="3" t="inlineStr">
        <is>
          <t>Остаток</t>
        </is>
      </c>
      <c r="D15" s="3" t="n">
        <v>5961</v>
      </c>
      <c r="E15" s="3" t="inlineStr"/>
      <c r="F15" s="3" t="inlineStr"/>
      <c r="G15" s="3" t="n">
        <v>0</v>
      </c>
      <c r="H15" s="3" t="n">
        <v>29</v>
      </c>
    </row>
    <row r="16">
      <c r="A16" s="2" t="inlineStr">
        <is>
          <t>40x40x2</t>
        </is>
      </c>
      <c r="B16" s="2" t="n">
        <v>3</v>
      </c>
      <c r="C16" s="2" t="inlineStr">
        <is>
          <t>A01L</t>
        </is>
      </c>
      <c r="D16" s="2" t="n">
        <v>10</v>
      </c>
      <c r="E16" s="2" t="n">
        <v>710</v>
      </c>
      <c r="F16" s="2" t="n">
        <v>720</v>
      </c>
      <c r="G16" s="2" t="n">
        <v>3</v>
      </c>
      <c r="H16" s="2" t="inlineStr"/>
    </row>
    <row r="17">
      <c r="A17" s="3" t="inlineStr">
        <is>
          <t>40x40x2</t>
        </is>
      </c>
      <c r="B17" s="3" t="n">
        <v>3</v>
      </c>
      <c r="C17" s="3" t="inlineStr">
        <is>
          <t>A01R</t>
        </is>
      </c>
      <c r="D17" s="3" t="n">
        <v>723</v>
      </c>
      <c r="E17" s="3" t="n">
        <v>710</v>
      </c>
      <c r="F17" s="3" t="n">
        <v>1433</v>
      </c>
      <c r="G17" s="3" t="n">
        <v>3</v>
      </c>
      <c r="H17" s="3" t="inlineStr"/>
    </row>
    <row r="18">
      <c r="A18" s="2" t="inlineStr">
        <is>
          <t>40x40x2</t>
        </is>
      </c>
      <c r="B18" s="2" t="n">
        <v>3</v>
      </c>
      <c r="C18" s="2" t="inlineStr">
        <is>
          <t>A11</t>
        </is>
      </c>
      <c r="D18" s="2" t="n">
        <v>1436</v>
      </c>
      <c r="E18" s="2" t="n">
        <v>660</v>
      </c>
      <c r="F18" s="2" t="n">
        <v>2096</v>
      </c>
      <c r="G18" s="2" t="n">
        <v>3</v>
      </c>
      <c r="H18" s="2" t="inlineStr"/>
    </row>
    <row r="19">
      <c r="A19" s="3" t="inlineStr">
        <is>
          <t>40x40x2</t>
        </is>
      </c>
      <c r="B19" s="3" t="n">
        <v>3</v>
      </c>
      <c r="C19" s="3" t="inlineStr">
        <is>
          <t>A12</t>
        </is>
      </c>
      <c r="D19" s="3" t="n">
        <v>2099</v>
      </c>
      <c r="E19" s="3" t="n">
        <v>660</v>
      </c>
      <c r="F19" s="3" t="n">
        <v>2759</v>
      </c>
      <c r="G19" s="3" t="n">
        <v>3</v>
      </c>
      <c r="H19" s="3" t="inlineStr"/>
    </row>
    <row r="20">
      <c r="A20" s="2" t="inlineStr">
        <is>
          <t>40x40x2</t>
        </is>
      </c>
      <c r="B20" s="2" t="n">
        <v>3</v>
      </c>
      <c r="C20" s="2" t="inlineStr">
        <is>
          <t>A04R</t>
        </is>
      </c>
      <c r="D20" s="2" t="n">
        <v>2762</v>
      </c>
      <c r="E20" s="2" t="n">
        <v>470</v>
      </c>
      <c r="F20" s="2" t="n">
        <v>3232</v>
      </c>
      <c r="G20" s="2" t="n">
        <v>3</v>
      </c>
      <c r="H20" s="2" t="inlineStr"/>
    </row>
    <row r="21">
      <c r="A21" s="3" t="inlineStr">
        <is>
          <t>40x40x2</t>
        </is>
      </c>
      <c r="B21" s="3" t="n">
        <v>3</v>
      </c>
      <c r="C21" s="3" t="inlineStr">
        <is>
          <t>A02L</t>
        </is>
      </c>
      <c r="D21" s="3" t="n">
        <v>3235</v>
      </c>
      <c r="E21" s="3" t="n">
        <v>455</v>
      </c>
      <c r="F21" s="3" t="n">
        <v>3690</v>
      </c>
      <c r="G21" s="3" t="n">
        <v>3</v>
      </c>
      <c r="H21" s="3" t="inlineStr"/>
    </row>
    <row r="22">
      <c r="A22" s="2" t="inlineStr">
        <is>
          <t>40x40x2</t>
        </is>
      </c>
      <c r="B22" s="2" t="n">
        <v>3</v>
      </c>
      <c r="C22" s="2" t="inlineStr">
        <is>
          <t>A02R</t>
        </is>
      </c>
      <c r="D22" s="2" t="n">
        <v>3693</v>
      </c>
      <c r="E22" s="2" t="n">
        <v>455</v>
      </c>
      <c r="F22" s="2" t="n">
        <v>4148</v>
      </c>
      <c r="G22" s="2" t="n">
        <v>3</v>
      </c>
      <c r="H22" s="2" t="inlineStr"/>
    </row>
    <row r="23">
      <c r="A23" s="3" t="inlineStr">
        <is>
          <t>40x40x2</t>
        </is>
      </c>
      <c r="B23" s="3" t="n">
        <v>3</v>
      </c>
      <c r="C23" s="3" t="inlineStr">
        <is>
          <t>Остаток</t>
        </is>
      </c>
      <c r="D23" s="3" t="n">
        <v>4151</v>
      </c>
      <c r="E23" s="3" t="inlineStr"/>
      <c r="F23" s="3" t="inlineStr"/>
      <c r="G23" s="3" t="n">
        <v>0</v>
      </c>
      <c r="H23" s="3" t="n">
        <v>1839</v>
      </c>
    </row>
    <row r="24">
      <c r="A24" s="2" t="inlineStr">
        <is>
          <t>30x30x2</t>
        </is>
      </c>
      <c r="B24" s="2" t="n">
        <v>1</v>
      </c>
      <c r="C24" s="2" t="inlineStr">
        <is>
          <t>B08</t>
        </is>
      </c>
      <c r="D24" s="2" t="n">
        <v>10</v>
      </c>
      <c r="E24" s="2" t="n">
        <v>1460</v>
      </c>
      <c r="F24" s="2" t="n">
        <v>1470</v>
      </c>
      <c r="G24" s="2" t="n">
        <v>3</v>
      </c>
      <c r="H24" s="2" t="inlineStr"/>
    </row>
    <row r="25">
      <c r="A25" s="3" t="inlineStr">
        <is>
          <t>30x30x2</t>
        </is>
      </c>
      <c r="B25" s="3" t="n">
        <v>1</v>
      </c>
      <c r="C25" s="3" t="inlineStr">
        <is>
          <t>B07</t>
        </is>
      </c>
      <c r="D25" s="3" t="n">
        <v>1473</v>
      </c>
      <c r="E25" s="3" t="n">
        <v>1435</v>
      </c>
      <c r="F25" s="3" t="n">
        <v>2908</v>
      </c>
      <c r="G25" s="3" t="n">
        <v>3</v>
      </c>
      <c r="H25" s="3" t="inlineStr"/>
    </row>
    <row r="26">
      <c r="A26" s="2" t="inlineStr">
        <is>
          <t>30x30x2</t>
        </is>
      </c>
      <c r="B26" s="2" t="n">
        <v>1</v>
      </c>
      <c r="C26" s="2" t="inlineStr">
        <is>
          <t>B01L</t>
        </is>
      </c>
      <c r="D26" s="2" t="n">
        <v>2911</v>
      </c>
      <c r="E26" s="2" t="n">
        <v>1210</v>
      </c>
      <c r="F26" s="2" t="n">
        <v>4121</v>
      </c>
      <c r="G26" s="2" t="n">
        <v>3</v>
      </c>
      <c r="H26" s="2" t="inlineStr"/>
    </row>
    <row r="27">
      <c r="A27" s="3" t="inlineStr">
        <is>
          <t>30x30x2</t>
        </is>
      </c>
      <c r="B27" s="3" t="n">
        <v>1</v>
      </c>
      <c r="C27" s="3" t="inlineStr">
        <is>
          <t>B01R</t>
        </is>
      </c>
      <c r="D27" s="3" t="n">
        <v>4124</v>
      </c>
      <c r="E27" s="3" t="n">
        <v>1210</v>
      </c>
      <c r="F27" s="3" t="n">
        <v>5334</v>
      </c>
      <c r="G27" s="3" t="n">
        <v>3</v>
      </c>
      <c r="H27" s="3" t="inlineStr"/>
    </row>
    <row r="28">
      <c r="A28" s="2" t="inlineStr">
        <is>
          <t>30x30x2</t>
        </is>
      </c>
      <c r="B28" s="2" t="n">
        <v>1</v>
      </c>
      <c r="C28" s="2" t="inlineStr">
        <is>
          <t>B02L</t>
        </is>
      </c>
      <c r="D28" s="2" t="n">
        <v>5337</v>
      </c>
      <c r="E28" s="2" t="n">
        <v>315</v>
      </c>
      <c r="F28" s="2" t="n">
        <v>5652</v>
      </c>
      <c r="G28" s="2" t="n">
        <v>3</v>
      </c>
      <c r="H28" s="2" t="inlineStr"/>
    </row>
    <row r="29">
      <c r="A29" s="3" t="inlineStr">
        <is>
          <t>30x30x2</t>
        </is>
      </c>
      <c r="B29" s="3" t="n">
        <v>1</v>
      </c>
      <c r="C29" s="3" t="inlineStr">
        <is>
          <t>B02R</t>
        </is>
      </c>
      <c r="D29" s="3" t="n">
        <v>5655</v>
      </c>
      <c r="E29" s="3" t="n">
        <v>315</v>
      </c>
      <c r="F29" s="3" t="n">
        <v>5970</v>
      </c>
      <c r="G29" s="3" t="n">
        <v>3</v>
      </c>
      <c r="H29" s="3" t="inlineStr"/>
    </row>
    <row r="30">
      <c r="A30" s="2" t="inlineStr">
        <is>
          <t>30x30x2</t>
        </is>
      </c>
      <c r="B30" s="2" t="n">
        <v>1</v>
      </c>
      <c r="C30" s="2" t="inlineStr">
        <is>
          <t>Остаток</t>
        </is>
      </c>
      <c r="D30" s="2" t="n">
        <v>5973</v>
      </c>
      <c r="E30" s="2" t="inlineStr"/>
      <c r="F30" s="2" t="inlineStr"/>
      <c r="G30" s="2" t="n">
        <v>0</v>
      </c>
      <c r="H30" s="2" t="n">
        <v>17</v>
      </c>
    </row>
    <row r="31">
      <c r="A31" s="3" t="inlineStr">
        <is>
          <t>30x30x2</t>
        </is>
      </c>
      <c r="B31" s="3" t="n">
        <v>2</v>
      </c>
      <c r="C31" s="3" t="inlineStr">
        <is>
          <t>B10</t>
        </is>
      </c>
      <c r="D31" s="3" t="n">
        <v>10</v>
      </c>
      <c r="E31" s="3" t="n">
        <v>820</v>
      </c>
      <c r="F31" s="3" t="n">
        <v>830</v>
      </c>
      <c r="G31" s="3" t="n">
        <v>3</v>
      </c>
      <c r="H31" s="3" t="inlineStr"/>
    </row>
    <row r="32">
      <c r="A32" s="2" t="inlineStr">
        <is>
          <t>30x30x2</t>
        </is>
      </c>
      <c r="B32" s="2" t="n">
        <v>2</v>
      </c>
      <c r="C32" s="2" t="inlineStr">
        <is>
          <t>B11</t>
        </is>
      </c>
      <c r="D32" s="2" t="n">
        <v>833</v>
      </c>
      <c r="E32" s="2" t="n">
        <v>820</v>
      </c>
      <c r="F32" s="2" t="n">
        <v>1653</v>
      </c>
      <c r="G32" s="2" t="n">
        <v>3</v>
      </c>
      <c r="H32" s="2" t="inlineStr"/>
    </row>
    <row r="33">
      <c r="A33" s="3" t="inlineStr">
        <is>
          <t>30x30x2</t>
        </is>
      </c>
      <c r="B33" s="3" t="n">
        <v>2</v>
      </c>
      <c r="C33" s="3" t="inlineStr">
        <is>
          <t>B09L</t>
        </is>
      </c>
      <c r="D33" s="3" t="n">
        <v>1656</v>
      </c>
      <c r="E33" s="3" t="n">
        <v>760</v>
      </c>
      <c r="F33" s="3" t="n">
        <v>2416</v>
      </c>
      <c r="G33" s="3" t="n">
        <v>3</v>
      </c>
      <c r="H33" s="3" t="inlineStr"/>
    </row>
    <row r="34">
      <c r="A34" s="2" t="inlineStr">
        <is>
          <t>30x30x2</t>
        </is>
      </c>
      <c r="B34" s="2" t="n">
        <v>2</v>
      </c>
      <c r="C34" s="2" t="inlineStr">
        <is>
          <t>B09R</t>
        </is>
      </c>
      <c r="D34" s="2" t="n">
        <v>2419</v>
      </c>
      <c r="E34" s="2" t="n">
        <v>760</v>
      </c>
      <c r="F34" s="2" t="n">
        <v>3179</v>
      </c>
      <c r="G34" s="2" t="n">
        <v>3</v>
      </c>
      <c r="H34" s="2" t="inlineStr"/>
    </row>
    <row r="35">
      <c r="A35" s="3" t="inlineStr">
        <is>
          <t>30x30x2</t>
        </is>
      </c>
      <c r="B35" s="3" t="n">
        <v>2</v>
      </c>
      <c r="C35" s="3" t="inlineStr">
        <is>
          <t>B06L</t>
        </is>
      </c>
      <c r="D35" s="3" t="n">
        <v>3182</v>
      </c>
      <c r="E35" s="3" t="n">
        <v>745</v>
      </c>
      <c r="F35" s="3" t="n">
        <v>3927</v>
      </c>
      <c r="G35" s="3" t="n">
        <v>3</v>
      </c>
      <c r="H35" s="3" t="inlineStr"/>
    </row>
    <row r="36">
      <c r="A36" s="2" t="inlineStr">
        <is>
          <t>30x30x2</t>
        </is>
      </c>
      <c r="B36" s="2" t="n">
        <v>2</v>
      </c>
      <c r="C36" s="2" t="inlineStr">
        <is>
          <t>B06R</t>
        </is>
      </c>
      <c r="D36" s="2" t="n">
        <v>3930</v>
      </c>
      <c r="E36" s="2" t="n">
        <v>745</v>
      </c>
      <c r="F36" s="2" t="n">
        <v>4675</v>
      </c>
      <c r="G36" s="2" t="n">
        <v>3</v>
      </c>
      <c r="H36" s="2" t="inlineStr"/>
    </row>
    <row r="37">
      <c r="A37" s="3" t="inlineStr">
        <is>
          <t>30x30x2</t>
        </is>
      </c>
      <c r="B37" s="3" t="n">
        <v>2</v>
      </c>
      <c r="C37" s="3" t="inlineStr">
        <is>
          <t>B14L</t>
        </is>
      </c>
      <c r="D37" s="3" t="n">
        <v>4678</v>
      </c>
      <c r="E37" s="3" t="n">
        <v>735</v>
      </c>
      <c r="F37" s="3" t="n">
        <v>5413</v>
      </c>
      <c r="G37" s="3" t="n">
        <v>3</v>
      </c>
      <c r="H37" s="3" t="inlineStr"/>
    </row>
    <row r="38">
      <c r="A38" s="2" t="inlineStr">
        <is>
          <t>30x30x2</t>
        </is>
      </c>
      <c r="B38" s="2" t="n">
        <v>2</v>
      </c>
      <c r="C38" s="2" t="inlineStr">
        <is>
          <t>B03L</t>
        </is>
      </c>
      <c r="D38" s="2" t="n">
        <v>5416</v>
      </c>
      <c r="E38" s="2" t="n">
        <v>315</v>
      </c>
      <c r="F38" s="2" t="n">
        <v>5731</v>
      </c>
      <c r="G38" s="2" t="n">
        <v>3</v>
      </c>
      <c r="H38" s="2" t="inlineStr"/>
    </row>
    <row r="39">
      <c r="A39" s="3" t="inlineStr">
        <is>
          <t>30x30x2</t>
        </is>
      </c>
      <c r="B39" s="3" t="n">
        <v>2</v>
      </c>
      <c r="C39" s="3" t="inlineStr">
        <is>
          <t>B12L</t>
        </is>
      </c>
      <c r="D39" s="3" t="n">
        <v>5734</v>
      </c>
      <c r="E39" s="3" t="n">
        <v>135</v>
      </c>
      <c r="F39" s="3" t="n">
        <v>5869</v>
      </c>
      <c r="G39" s="3" t="n">
        <v>3</v>
      </c>
      <c r="H39" s="3" t="inlineStr"/>
    </row>
    <row r="40">
      <c r="A40" s="2" t="inlineStr">
        <is>
          <t>30x30x2</t>
        </is>
      </c>
      <c r="B40" s="2" t="n">
        <v>2</v>
      </c>
      <c r="C40" s="2" t="inlineStr">
        <is>
          <t>Остаток</t>
        </is>
      </c>
      <c r="D40" s="2" t="n">
        <v>5872</v>
      </c>
      <c r="E40" s="2" t="inlineStr"/>
      <c r="F40" s="2" t="inlineStr"/>
      <c r="G40" s="2" t="n">
        <v>0</v>
      </c>
      <c r="H40" s="2" t="n">
        <v>118</v>
      </c>
    </row>
    <row r="41">
      <c r="A41" s="3" t="inlineStr">
        <is>
          <t>30x30x2</t>
        </is>
      </c>
      <c r="B41" s="3" t="n">
        <v>3</v>
      </c>
      <c r="C41" s="3" t="inlineStr">
        <is>
          <t>B14R</t>
        </is>
      </c>
      <c r="D41" s="3" t="n">
        <v>10</v>
      </c>
      <c r="E41" s="3" t="n">
        <v>735</v>
      </c>
      <c r="F41" s="3" t="n">
        <v>745</v>
      </c>
      <c r="G41" s="3" t="n">
        <v>3</v>
      </c>
      <c r="H41" s="3" t="inlineStr"/>
    </row>
    <row r="42">
      <c r="A42" s="2" t="inlineStr">
        <is>
          <t>30x30x2</t>
        </is>
      </c>
      <c r="B42" s="2" t="n">
        <v>3</v>
      </c>
      <c r="C42" s="2" t="inlineStr">
        <is>
          <t>B15</t>
        </is>
      </c>
      <c r="D42" s="2" t="n">
        <v>748</v>
      </c>
      <c r="E42" s="2" t="n">
        <v>730</v>
      </c>
      <c r="F42" s="2" t="n">
        <v>1478</v>
      </c>
      <c r="G42" s="2" t="n">
        <v>3</v>
      </c>
      <c r="H42" s="2" t="inlineStr"/>
    </row>
    <row r="43">
      <c r="A43" s="3" t="inlineStr">
        <is>
          <t>30x30x2</t>
        </is>
      </c>
      <c r="B43" s="3" t="n">
        <v>3</v>
      </c>
      <c r="C43" s="3" t="inlineStr">
        <is>
          <t>B16</t>
        </is>
      </c>
      <c r="D43" s="3" t="n">
        <v>1481</v>
      </c>
      <c r="E43" s="3" t="n">
        <v>730</v>
      </c>
      <c r="F43" s="3" t="n">
        <v>2211</v>
      </c>
      <c r="G43" s="3" t="n">
        <v>3</v>
      </c>
      <c r="H43" s="3" t="inlineStr"/>
    </row>
    <row r="44">
      <c r="A44" s="2" t="inlineStr">
        <is>
          <t>30x30x2</t>
        </is>
      </c>
      <c r="B44" s="2" t="n">
        <v>3</v>
      </c>
      <c r="C44" s="2" t="inlineStr">
        <is>
          <t>B05L</t>
        </is>
      </c>
      <c r="D44" s="2" t="n">
        <v>2214</v>
      </c>
      <c r="E44" s="2" t="n">
        <v>705</v>
      </c>
      <c r="F44" s="2" t="n">
        <v>2919</v>
      </c>
      <c r="G44" s="2" t="n">
        <v>3</v>
      </c>
      <c r="H44" s="2" t="inlineStr"/>
    </row>
    <row r="45">
      <c r="A45" s="3" t="inlineStr">
        <is>
          <t>30x30x2</t>
        </is>
      </c>
      <c r="B45" s="3" t="n">
        <v>3</v>
      </c>
      <c r="C45" s="3" t="inlineStr">
        <is>
          <t>B05R</t>
        </is>
      </c>
      <c r="D45" s="3" t="n">
        <v>2922</v>
      </c>
      <c r="E45" s="3" t="n">
        <v>705</v>
      </c>
      <c r="F45" s="3" t="n">
        <v>3627</v>
      </c>
      <c r="G45" s="3" t="n">
        <v>3</v>
      </c>
      <c r="H45" s="3" t="inlineStr"/>
    </row>
    <row r="46">
      <c r="A46" s="2" t="inlineStr">
        <is>
          <t>30x30x2</t>
        </is>
      </c>
      <c r="B46" s="2" t="n">
        <v>3</v>
      </c>
      <c r="C46" s="2" t="inlineStr">
        <is>
          <t>B03R</t>
        </is>
      </c>
      <c r="D46" s="2" t="n">
        <v>3630</v>
      </c>
      <c r="E46" s="2" t="n">
        <v>315</v>
      </c>
      <c r="F46" s="2" t="n">
        <v>3945</v>
      </c>
      <c r="G46" s="2" t="n">
        <v>3</v>
      </c>
      <c r="H46" s="2" t="inlineStr"/>
    </row>
    <row r="47">
      <c r="A47" s="3" t="inlineStr">
        <is>
          <t>30x30x2</t>
        </is>
      </c>
      <c r="B47" s="3" t="n">
        <v>3</v>
      </c>
      <c r="C47" s="3" t="inlineStr">
        <is>
          <t>B04L</t>
        </is>
      </c>
      <c r="D47" s="3" t="n">
        <v>3948</v>
      </c>
      <c r="E47" s="3" t="n">
        <v>315</v>
      </c>
      <c r="F47" s="3" t="n">
        <v>4263</v>
      </c>
      <c r="G47" s="3" t="n">
        <v>3</v>
      </c>
      <c r="H47" s="3" t="inlineStr"/>
    </row>
    <row r="48">
      <c r="A48" s="2" t="inlineStr">
        <is>
          <t>30x30x2</t>
        </is>
      </c>
      <c r="B48" s="2" t="n">
        <v>3</v>
      </c>
      <c r="C48" s="2" t="inlineStr">
        <is>
          <t>B04R</t>
        </is>
      </c>
      <c r="D48" s="2" t="n">
        <v>4266</v>
      </c>
      <c r="E48" s="2" t="n">
        <v>315</v>
      </c>
      <c r="F48" s="2" t="n">
        <v>4581</v>
      </c>
      <c r="G48" s="2" t="n">
        <v>3</v>
      </c>
      <c r="H48" s="2" t="inlineStr"/>
    </row>
    <row r="49">
      <c r="A49" s="3" t="inlineStr">
        <is>
          <t>30x30x2</t>
        </is>
      </c>
      <c r="B49" s="3" t="n">
        <v>3</v>
      </c>
      <c r="C49" s="3" t="inlineStr">
        <is>
          <t>B12R</t>
        </is>
      </c>
      <c r="D49" s="3" t="n">
        <v>4584</v>
      </c>
      <c r="E49" s="3" t="n">
        <v>135</v>
      </c>
      <c r="F49" s="3" t="n">
        <v>4719</v>
      </c>
      <c r="G49" s="3" t="n">
        <v>3</v>
      </c>
      <c r="H49" s="3" t="inlineStr"/>
    </row>
    <row r="50">
      <c r="A50" s="2" t="inlineStr">
        <is>
          <t>30x30x2</t>
        </is>
      </c>
      <c r="B50" s="2" t="n">
        <v>3</v>
      </c>
      <c r="C50" s="2" t="inlineStr">
        <is>
          <t>B13L</t>
        </is>
      </c>
      <c r="D50" s="2" t="n">
        <v>4722</v>
      </c>
      <c r="E50" s="2" t="n">
        <v>135</v>
      </c>
      <c r="F50" s="2" t="n">
        <v>4857</v>
      </c>
      <c r="G50" s="2" t="n">
        <v>3</v>
      </c>
      <c r="H50" s="2" t="inlineStr"/>
    </row>
    <row r="51">
      <c r="A51" s="3" t="inlineStr">
        <is>
          <t>30x30x2</t>
        </is>
      </c>
      <c r="B51" s="3" t="n">
        <v>3</v>
      </c>
      <c r="C51" s="3" t="inlineStr">
        <is>
          <t>B13R</t>
        </is>
      </c>
      <c r="D51" s="3" t="n">
        <v>4860</v>
      </c>
      <c r="E51" s="3" t="n">
        <v>135</v>
      </c>
      <c r="F51" s="3" t="n">
        <v>4995</v>
      </c>
      <c r="G51" s="3" t="n">
        <v>3</v>
      </c>
      <c r="H51" s="3" t="inlineStr"/>
    </row>
    <row r="52">
      <c r="A52" s="2" t="inlineStr">
        <is>
          <t>30x30x2</t>
        </is>
      </c>
      <c r="B52" s="2" t="n">
        <v>3</v>
      </c>
      <c r="C52" s="2" t="inlineStr">
        <is>
          <t>Остаток</t>
        </is>
      </c>
      <c r="D52" s="2" t="n">
        <v>4998</v>
      </c>
      <c r="E52" s="2" t="inlineStr"/>
      <c r="F52" s="2" t="inlineStr"/>
      <c r="G52" s="2" t="n">
        <v>0</v>
      </c>
      <c r="H52" s="2" t="n">
        <v>992</v>
      </c>
    </row>
    <row r="53">
      <c r="A53" s="3" t="inlineStr">
        <is>
          <t>25x25x2</t>
        </is>
      </c>
      <c r="B53" s="3" t="n">
        <v>1</v>
      </c>
      <c r="C53" s="3" t="inlineStr">
        <is>
          <t>C03</t>
        </is>
      </c>
      <c r="D53" s="3" t="n">
        <v>10</v>
      </c>
      <c r="E53" s="3" t="n">
        <v>1300</v>
      </c>
      <c r="F53" s="3" t="n">
        <v>1310</v>
      </c>
      <c r="G53" s="3" t="n">
        <v>3</v>
      </c>
      <c r="H53" s="3" t="inlineStr"/>
    </row>
    <row r="54">
      <c r="A54" s="2" t="inlineStr">
        <is>
          <t>25x25x2</t>
        </is>
      </c>
      <c r="B54" s="2" t="n">
        <v>1</v>
      </c>
      <c r="C54" s="2" t="inlineStr">
        <is>
          <t>C01</t>
        </is>
      </c>
      <c r="D54" s="2" t="n">
        <v>1313</v>
      </c>
      <c r="E54" s="2" t="n">
        <v>700</v>
      </c>
      <c r="F54" s="2" t="n">
        <v>2013</v>
      </c>
      <c r="G54" s="2" t="n">
        <v>3</v>
      </c>
      <c r="H54" s="2" t="inlineStr"/>
    </row>
    <row r="55">
      <c r="A55" s="3" t="inlineStr">
        <is>
          <t>25x25x2</t>
        </is>
      </c>
      <c r="B55" s="3" t="n">
        <v>1</v>
      </c>
      <c r="C55" s="3" t="inlineStr">
        <is>
          <t>C02</t>
        </is>
      </c>
      <c r="D55" s="3" t="n">
        <v>2016</v>
      </c>
      <c r="E55" s="3" t="n">
        <v>700</v>
      </c>
      <c r="F55" s="3" t="n">
        <v>2716</v>
      </c>
      <c r="G55" s="3" t="n">
        <v>3</v>
      </c>
      <c r="H55" s="3" t="inlineStr"/>
    </row>
    <row r="56">
      <c r="A56" s="2" t="inlineStr">
        <is>
          <t>25x25x2</t>
        </is>
      </c>
      <c r="B56" s="2" t="n">
        <v>1</v>
      </c>
      <c r="C56" s="2" t="inlineStr">
        <is>
          <t>C04L</t>
        </is>
      </c>
      <c r="D56" s="2" t="n">
        <v>2719</v>
      </c>
      <c r="E56" s="2" t="n">
        <v>275</v>
      </c>
      <c r="F56" s="2" t="n">
        <v>2994</v>
      </c>
      <c r="G56" s="2" t="n">
        <v>3</v>
      </c>
      <c r="H56" s="2" t="inlineStr"/>
    </row>
    <row r="57">
      <c r="A57" s="3" t="inlineStr">
        <is>
          <t>25x25x2</t>
        </is>
      </c>
      <c r="B57" s="3" t="n">
        <v>1</v>
      </c>
      <c r="C57" s="3" t="inlineStr">
        <is>
          <t>C04R</t>
        </is>
      </c>
      <c r="D57" s="3" t="n">
        <v>2997</v>
      </c>
      <c r="E57" s="3" t="n">
        <v>275</v>
      </c>
      <c r="F57" s="3" t="n">
        <v>3272</v>
      </c>
      <c r="G57" s="3" t="n">
        <v>3</v>
      </c>
      <c r="H57" s="3" t="inlineStr"/>
    </row>
    <row r="58">
      <c r="A58" s="2" t="inlineStr">
        <is>
          <t>25x25x2</t>
        </is>
      </c>
      <c r="B58" s="2" t="n">
        <v>1</v>
      </c>
      <c r="C58" s="2" t="inlineStr">
        <is>
          <t>Остаток</t>
        </is>
      </c>
      <c r="D58" s="2" t="n">
        <v>3275</v>
      </c>
      <c r="E58" s="2" t="inlineStr"/>
      <c r="F58" s="2" t="inlineStr"/>
      <c r="G58" s="2" t="n">
        <v>0</v>
      </c>
      <c r="H58" s="2" t="n">
        <v>2715</v>
      </c>
    </row>
    <row r="59">
      <c r="A59" s="3" t="inlineStr">
        <is>
          <t>45x3</t>
        </is>
      </c>
      <c r="B59" s="3" t="n">
        <v>1</v>
      </c>
      <c r="C59" s="3" t="inlineStr">
        <is>
          <t>D01</t>
        </is>
      </c>
      <c r="D59" s="3" t="n">
        <v>10</v>
      </c>
      <c r="E59" s="3" t="n">
        <v>4060</v>
      </c>
      <c r="F59" s="3" t="n">
        <v>4070</v>
      </c>
      <c r="G59" s="3" t="n">
        <v>3</v>
      </c>
      <c r="H59" s="3" t="inlineStr"/>
    </row>
    <row r="60">
      <c r="A60" s="2" t="inlineStr">
        <is>
          <t>45x3</t>
        </is>
      </c>
      <c r="B60" s="2" t="n">
        <v>1</v>
      </c>
      <c r="C60" s="2" t="inlineStr">
        <is>
          <t>D05</t>
        </is>
      </c>
      <c r="D60" s="2" t="n">
        <v>4073</v>
      </c>
      <c r="E60" s="2" t="n">
        <v>1830</v>
      </c>
      <c r="F60" s="2" t="n">
        <v>5903</v>
      </c>
      <c r="G60" s="2" t="n">
        <v>3</v>
      </c>
      <c r="H60" s="2" t="inlineStr"/>
    </row>
    <row r="61">
      <c r="A61" s="3" t="inlineStr">
        <is>
          <t>45x3</t>
        </is>
      </c>
      <c r="B61" s="3" t="n">
        <v>1</v>
      </c>
      <c r="C61" s="3" t="inlineStr">
        <is>
          <t>Остаток</t>
        </is>
      </c>
      <c r="D61" s="3" t="n">
        <v>5906</v>
      </c>
      <c r="E61" s="3" t="inlineStr"/>
      <c r="F61" s="3" t="inlineStr"/>
      <c r="G61" s="3" t="n">
        <v>0</v>
      </c>
      <c r="H61" s="3" t="n">
        <v>84</v>
      </c>
    </row>
    <row r="62">
      <c r="A62" s="2" t="inlineStr">
        <is>
          <t>45x3</t>
        </is>
      </c>
      <c r="B62" s="2" t="n">
        <v>2</v>
      </c>
      <c r="C62" s="2" t="inlineStr">
        <is>
          <t>D02</t>
        </is>
      </c>
      <c r="D62" s="2" t="n">
        <v>10</v>
      </c>
      <c r="E62" s="2" t="n">
        <v>3170</v>
      </c>
      <c r="F62" s="2" t="n">
        <v>3180</v>
      </c>
      <c r="G62" s="2" t="n">
        <v>3</v>
      </c>
      <c r="H62" s="2" t="inlineStr"/>
    </row>
    <row r="63">
      <c r="A63" s="3" t="inlineStr">
        <is>
          <t>45x3</t>
        </is>
      </c>
      <c r="B63" s="3" t="n">
        <v>2</v>
      </c>
      <c r="C63" s="3" t="inlineStr">
        <is>
          <t>D04L</t>
        </is>
      </c>
      <c r="D63" s="3" t="n">
        <v>3183</v>
      </c>
      <c r="E63" s="3" t="n">
        <v>1565</v>
      </c>
      <c r="F63" s="3" t="n">
        <v>4748</v>
      </c>
      <c r="G63" s="3" t="n">
        <v>3</v>
      </c>
      <c r="H63" s="3" t="inlineStr"/>
    </row>
    <row r="64">
      <c r="A64" s="2" t="inlineStr">
        <is>
          <t>45x3</t>
        </is>
      </c>
      <c r="B64" s="2" t="n">
        <v>2</v>
      </c>
      <c r="C64" s="2" t="inlineStr">
        <is>
          <t>D03L</t>
        </is>
      </c>
      <c r="D64" s="2" t="n">
        <v>4751</v>
      </c>
      <c r="E64" s="2" t="n">
        <v>925</v>
      </c>
      <c r="F64" s="2" t="n">
        <v>5676</v>
      </c>
      <c r="G64" s="2" t="n">
        <v>3</v>
      </c>
      <c r="H64" s="2" t="inlineStr"/>
    </row>
    <row r="65">
      <c r="A65" s="3" t="inlineStr">
        <is>
          <t>45x3</t>
        </is>
      </c>
      <c r="B65" s="3" t="n">
        <v>2</v>
      </c>
      <c r="C65" s="3" t="inlineStr">
        <is>
          <t>Остаток</t>
        </is>
      </c>
      <c r="D65" s="3" t="n">
        <v>5679</v>
      </c>
      <c r="E65" s="3" t="inlineStr"/>
      <c r="F65" s="3" t="inlineStr"/>
      <c r="G65" s="3" t="n">
        <v>0</v>
      </c>
      <c r="H65" s="3" t="n">
        <v>311</v>
      </c>
    </row>
    <row r="66">
      <c r="A66" s="2" t="inlineStr">
        <is>
          <t>45x3</t>
        </is>
      </c>
      <c r="B66" s="2" t="n">
        <v>3</v>
      </c>
      <c r="C66" s="2" t="inlineStr">
        <is>
          <t>D04R</t>
        </is>
      </c>
      <c r="D66" s="2" t="n">
        <v>10</v>
      </c>
      <c r="E66" s="2" t="n">
        <v>1565</v>
      </c>
      <c r="F66" s="2" t="n">
        <v>1575</v>
      </c>
      <c r="G66" s="2" t="n">
        <v>3</v>
      </c>
      <c r="H66" s="2" t="inlineStr"/>
    </row>
    <row r="67">
      <c r="A67" s="3" t="inlineStr">
        <is>
          <t>45x3</t>
        </is>
      </c>
      <c r="B67" s="3" t="n">
        <v>3</v>
      </c>
      <c r="C67" s="3" t="inlineStr">
        <is>
          <t>D06</t>
        </is>
      </c>
      <c r="D67" s="3" t="n">
        <v>1578</v>
      </c>
      <c r="E67" s="3" t="n">
        <v>1385</v>
      </c>
      <c r="F67" s="3" t="n">
        <v>2963</v>
      </c>
      <c r="G67" s="3" t="n">
        <v>3</v>
      </c>
      <c r="H67" s="3" t="inlineStr"/>
    </row>
    <row r="68">
      <c r="A68" s="2" t="inlineStr">
        <is>
          <t>45x3</t>
        </is>
      </c>
      <c r="B68" s="2" t="n">
        <v>3</v>
      </c>
      <c r="C68" s="2" t="inlineStr">
        <is>
          <t>D07</t>
        </is>
      </c>
      <c r="D68" s="2" t="n">
        <v>2966</v>
      </c>
      <c r="E68" s="2" t="n">
        <v>1360</v>
      </c>
      <c r="F68" s="2" t="n">
        <v>4326</v>
      </c>
      <c r="G68" s="2" t="n">
        <v>3</v>
      </c>
      <c r="H68" s="2" t="inlineStr"/>
    </row>
    <row r="69">
      <c r="A69" s="3" t="inlineStr">
        <is>
          <t>45x3</t>
        </is>
      </c>
      <c r="B69" s="3" t="n">
        <v>3</v>
      </c>
      <c r="C69" s="3" t="inlineStr">
        <is>
          <t>D03R</t>
        </is>
      </c>
      <c r="D69" s="3" t="n">
        <v>4329</v>
      </c>
      <c r="E69" s="3" t="n">
        <v>925</v>
      </c>
      <c r="F69" s="3" t="n">
        <v>5254</v>
      </c>
      <c r="G69" s="3" t="n">
        <v>3</v>
      </c>
      <c r="H69" s="3" t="inlineStr"/>
    </row>
    <row r="70">
      <c r="A70" s="2" t="inlineStr">
        <is>
          <t>45x3</t>
        </is>
      </c>
      <c r="B70" s="2" t="n">
        <v>3</v>
      </c>
      <c r="C70" s="2" t="inlineStr">
        <is>
          <t>Остаток</t>
        </is>
      </c>
      <c r="D70" s="2" t="n">
        <v>5257</v>
      </c>
      <c r="E70" s="2" t="inlineStr"/>
      <c r="F70" s="2" t="inlineStr"/>
      <c r="G70" s="2" t="n">
        <v>0</v>
      </c>
      <c r="H70" s="2" t="n">
        <v>733</v>
      </c>
    </row>
  </sheetData>
  <autoFilter ref="A1:H70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4.4" customWidth="1" min="3" max="3"/>
    <col width="13" customWidth="1" min="4" max="4"/>
    <col width="13" customWidth="1" min="5" max="5"/>
    <col width="13" customWidth="1" min="6" max="6"/>
    <col width="13" customWidth="1" min="7" max="7"/>
    <col width="43.2" customWidth="1" min="8" max="8"/>
  </cols>
  <sheetData>
    <row r="1" ht="32" customHeight="1">
      <c r="A1" s="1" t="inlineStr">
        <is>
          <t>ID</t>
        </is>
      </c>
      <c r="B1" s="1" t="inlineStr">
        <is>
          <t>R оси</t>
        </is>
      </c>
      <c r="C1" s="1" t="inlineStr">
        <is>
          <t>Длина ноги до гиба</t>
        </is>
      </c>
      <c r="D1" s="1" t="inlineStr">
        <is>
          <t>Длина дуги 90°</t>
        </is>
      </c>
      <c r="E1" s="1" t="inlineStr">
        <is>
          <t>Прямой верх</t>
        </is>
      </c>
      <c r="F1" s="1" t="inlineStr">
        <is>
          <t>L развёртки</t>
        </is>
      </c>
      <c r="G1" s="1" t="inlineStr">
        <is>
          <t>Заготовка</t>
        </is>
      </c>
      <c r="H1" s="1" t="inlineStr">
        <is>
          <t>Метки от чистового торца</t>
        </is>
      </c>
    </row>
    <row r="2">
      <c r="A2" s="2" t="inlineStr">
        <is>
          <t>D01</t>
        </is>
      </c>
      <c r="B2" s="2" t="n">
        <v>150</v>
      </c>
      <c r="C2" s="2" t="n">
        <v>1230</v>
      </c>
      <c r="D2" s="2" t="n">
        <v>235.62</v>
      </c>
      <c r="E2" s="2" t="n">
        <v>1000</v>
      </c>
      <c r="F2" s="2" t="n">
        <v>3931.24</v>
      </c>
      <c r="G2" s="2" t="n">
        <v>4060</v>
      </c>
      <c r="H2" s="2" t="inlineStr">
        <is>
          <t>0.00 / 1230.00 / 1465.62 / 2465.62 / 2701.24 / 3931.24</t>
        </is>
      </c>
    </row>
    <row r="3">
      <c r="A3" s="3" t="inlineStr">
        <is>
          <t>D02</t>
        </is>
      </c>
      <c r="B3" s="3" t="n">
        <v>150</v>
      </c>
      <c r="C3" s="3" t="n">
        <v>784.47</v>
      </c>
      <c r="D3" s="3" t="n">
        <v>235.62</v>
      </c>
      <c r="E3" s="3" t="n">
        <v>1000</v>
      </c>
      <c r="F3" s="3" t="n">
        <v>3040.17</v>
      </c>
      <c r="G3" s="3" t="n">
        <v>3170</v>
      </c>
      <c r="H3" s="3" t="inlineStr">
        <is>
          <t>0.00 / 784.47 / 1020.08 / 2020.08 / 2255.70 / 3040.17</t>
        </is>
      </c>
    </row>
    <row r="4">
      <c r="A4" s="2" t="inlineStr">
        <is>
          <t>Это касательные геометрии; поправка станка и пружинение определяются пробным гибом.</t>
        </is>
      </c>
      <c r="B4" s="2" t="n"/>
      <c r="C4" s="2" t="n"/>
      <c r="D4" s="2" t="n"/>
      <c r="E4" s="2" t="n"/>
      <c r="F4" s="2" t="n"/>
      <c r="G4" s="2" t="n"/>
      <c r="H4" s="2" t="n"/>
    </row>
  </sheetData>
  <autoFilter ref="A1:H4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.8" customWidth="1" min="2" max="2"/>
    <col width="13" customWidth="1" min="3" max="3"/>
    <col width="13" customWidth="1" min="4" max="4"/>
    <col width="13" customWidth="1" min="5" max="5"/>
    <col width="13" customWidth="1" min="6" max="6"/>
    <col width="41.6" customWidth="1" min="7" max="7"/>
  </cols>
  <sheetData>
    <row r="1" ht="32" customHeight="1">
      <c r="A1" s="1" t="inlineStr">
        <is>
          <t>ID</t>
        </is>
      </c>
      <c r="B1" s="1" t="inlineStr">
        <is>
          <t>Деталь</t>
        </is>
      </c>
      <c r="C1" s="1" t="inlineStr">
        <is>
          <t>Длина, мм</t>
        </is>
      </c>
      <c r="D1" s="1" t="inlineStr">
        <is>
          <t>Ширина, мм</t>
        </is>
      </c>
      <c r="E1" s="1" t="inlineStr">
        <is>
          <t>Толщина, мм</t>
        </is>
      </c>
      <c r="F1" s="1" t="inlineStr">
        <is>
          <t>Кол-во</t>
        </is>
      </c>
      <c r="G1" s="1" t="inlineStr">
        <is>
          <t>Уточнение</t>
        </is>
      </c>
    </row>
    <row r="2">
      <c r="A2" s="2" t="inlineStr">
        <is>
          <t>P01</t>
        </is>
      </c>
      <c r="B2" s="2" t="inlineStr">
        <is>
          <t>Пол слева</t>
        </is>
      </c>
      <c r="C2" s="2" t="n">
        <v>1130</v>
      </c>
      <c r="D2" s="2" t="n">
        <v>630</v>
      </c>
      <c r="E2" s="2" t="n">
        <v>1.5</v>
      </c>
      <c r="F2" s="2" t="n">
        <v>1</v>
      </c>
      <c r="G2" s="2" t="inlineStr">
        <is>
          <t>Сталь; чистовой шаблон по месту</t>
        </is>
      </c>
    </row>
    <row r="3">
      <c r="A3" s="3" t="inlineStr">
        <is>
          <t>P02</t>
        </is>
      </c>
      <c r="B3" s="3" t="inlineStr">
        <is>
          <t>Пол справа</t>
        </is>
      </c>
      <c r="C3" s="3" t="n">
        <v>1130</v>
      </c>
      <c r="D3" s="3" t="n">
        <v>630</v>
      </c>
      <c r="E3" s="3" t="n">
        <v>1.5</v>
      </c>
      <c r="F3" s="3" t="n">
        <v>1</v>
      </c>
      <c r="G3" s="3" t="inlineStr">
        <is>
          <t>Сталь; стык опереть и закрыть</t>
        </is>
      </c>
    </row>
    <row r="4">
      <c r="A4" s="2" t="inlineStr">
        <is>
          <t>P03</t>
        </is>
      </c>
      <c r="B4" s="2" t="inlineStr">
        <is>
          <t>Пол передний</t>
        </is>
      </c>
      <c r="C4" s="2" t="n">
        <v>500</v>
      </c>
      <c r="D4" s="2" t="n">
        <v>660</v>
      </c>
      <c r="E4" s="2" t="n">
        <v>1.5</v>
      </c>
      <c r="F4" s="2" t="n">
        <v>1</v>
      </c>
      <c r="G4" s="2" t="inlineStr">
        <is>
          <t>Сталь; педальный узел отдельно</t>
        </is>
      </c>
    </row>
    <row r="5">
      <c r="A5" s="3" t="inlineStr">
        <is>
          <t>P04</t>
        </is>
      </c>
      <c r="B5" s="3" t="inlineStr">
        <is>
          <t>Перегородка половина</t>
        </is>
      </c>
      <c r="C5" s="3" t="n">
        <v>650</v>
      </c>
      <c r="D5" s="3" t="n">
        <v>960</v>
      </c>
      <c r="E5" s="3" t="n">
        <v>1.5</v>
      </c>
      <c r="F5" s="3" t="n">
        <v>2</v>
      </c>
      <c r="G5" s="3" t="inlineStr">
        <is>
          <t>Сталь; герметичный стык и кромки</t>
        </is>
      </c>
    </row>
    <row r="6">
      <c r="A6" s="2" t="inlineStr">
        <is>
          <t>P05</t>
        </is>
      </c>
      <c r="B6" s="2" t="inlineStr">
        <is>
          <t>Моторная плита</t>
        </is>
      </c>
      <c r="C6" s="2" t="n">
        <v>550</v>
      </c>
      <c r="D6" s="2" t="n">
        <v>500</v>
      </c>
      <c r="E6" s="2" t="n">
        <v>4</v>
      </c>
      <c r="F6" s="2" t="n">
        <v>1</v>
      </c>
      <c r="G6" s="2" t="inlineStr">
        <is>
          <t>Черновая заготовка; отверстия только по двигателю</t>
        </is>
      </c>
    </row>
    <row r="7">
      <c r="A7" s="3" t="inlineStr">
        <is>
          <t>P06</t>
        </is>
      </c>
      <c r="B7" s="3" t="inlineStr">
        <is>
          <t>Заготовки косынок</t>
        </is>
      </c>
      <c r="C7" s="3" t="n">
        <v>100</v>
      </c>
      <c r="D7" s="3" t="n">
        <v>100</v>
      </c>
      <c r="E7" s="3" t="n">
        <v>3</v>
      </c>
      <c r="F7" s="3" t="n">
        <v>16</v>
      </c>
      <c r="G7" s="3" t="inlineStr">
        <is>
          <t>Резерв, окончательные размеры по силовым узлам</t>
        </is>
      </c>
    </row>
    <row r="8">
      <c r="A8" s="2" t="inlineStr">
        <is>
          <t>P07</t>
        </is>
      </c>
      <c r="B8" s="2" t="inlineStr">
        <is>
          <t>Заготовки кронштейнов</t>
        </is>
      </c>
      <c r="C8" s="2" t="n">
        <v>100</v>
      </c>
      <c r="D8" s="2" t="n">
        <v>80</v>
      </c>
      <c r="E8" s="2" t="n">
        <v>5</v>
      </c>
      <c r="F8" s="2" t="n">
        <v>12</v>
      </c>
      <c r="G8" s="2" t="inlineStr">
        <is>
          <t>Резерв, не чертёж крепления подвески</t>
        </is>
      </c>
    </row>
    <row r="9">
      <c r="A9" s="3" t="inlineStr">
        <is>
          <t>Закупка</t>
        </is>
      </c>
      <c r="B9" s="3" t="inlineStr">
        <is>
          <t>Лист 1,5 мм</t>
        </is>
      </c>
      <c r="C9" s="3" t="n">
        <v>1250</v>
      </c>
      <c r="D9" s="3" t="n">
        <v>2500</v>
      </c>
      <c r="E9" s="3" t="n">
        <v>1.5</v>
      </c>
      <c r="F9" s="3" t="n">
        <v>2</v>
      </c>
      <c r="G9" s="3" t="inlineStr">
        <is>
          <t>Часть остаётся для кожухов; карта ниже в руководстве</t>
        </is>
      </c>
    </row>
  </sheetData>
  <autoFilter ref="A1:G9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4" customWidth="1" min="1" max="1"/>
    <col width="13" customWidth="1" min="2" max="2"/>
    <col width="13" customWidth="1" min="3" max="3"/>
    <col width="44" customWidth="1" min="4" max="4"/>
  </cols>
  <sheetData>
    <row r="1" ht="32" customHeight="1">
      <c r="A1" s="1" t="inlineStr">
        <is>
          <t>Узел</t>
        </is>
      </c>
      <c r="B1" s="1" t="inlineStr">
        <is>
          <t>Мин., ₽</t>
        </is>
      </c>
      <c r="C1" s="1" t="inlineStr">
        <is>
          <t>Макс., ₽</t>
        </is>
      </c>
      <c r="D1" s="1" t="inlineStr">
        <is>
          <t>Основание / статус</t>
        </is>
      </c>
    </row>
    <row r="2">
      <c r="A2" s="2" t="inlineStr">
        <is>
          <t>Труба по раскрою, 60 м</t>
        </is>
      </c>
      <c r="B2" s="2" t="n">
        <v>14000</v>
      </c>
      <c r="C2" s="2" t="n">
        <v>21000</v>
      </c>
      <c r="D2" s="2" t="inlineStr">
        <is>
          <t>S01–S05; круглая труба по розничному запросу</t>
        </is>
      </c>
    </row>
    <row r="3">
      <c r="A3" s="3" t="inlineStr">
        <is>
          <t>Лист, моторная плита, косынки</t>
        </is>
      </c>
      <c r="B3" s="3" t="n">
        <v>7000</v>
      </c>
      <c r="C3" s="3" t="n">
        <v>12000</v>
      </c>
      <c r="D3" s="3" t="inlineStr">
        <is>
          <t>Оценка; обрезки толстого листа дешевле полного листа</t>
        </is>
      </c>
    </row>
    <row r="4">
      <c r="A4" s="2" t="inlineStr">
        <is>
          <t>Двигатель класса 15 л.с.</t>
        </is>
      </c>
      <c r="B4" s="2" t="n">
        <v>25000</v>
      </c>
      <c r="C4" s="2" t="n">
        <v>40000</v>
      </c>
      <c r="D4" s="2" t="inlineStr">
        <is>
          <t>Оценка; S06–S07</t>
        </is>
      </c>
    </row>
    <row r="5">
      <c r="A5" s="3" t="inlineStr">
        <is>
          <t>Вариатор в комплекте</t>
        </is>
      </c>
      <c r="B5" s="3" t="n">
        <v>14200</v>
      </c>
      <c r="C5" s="3" t="n">
        <v>20000</v>
      </c>
      <c r="D5" s="3" t="inlineStr">
        <is>
          <t>14 200 на S08; более подходящее исполнение может дороже</t>
        </is>
      </c>
    </row>
    <row r="6">
      <c r="A6" s="2" t="inlineStr">
        <is>
          <t>Цельный мост б/у с тормозами</t>
        </is>
      </c>
      <c r="B6" s="2" t="n">
        <v>8000</v>
      </c>
      <c r="C6" s="2" t="n">
        <v>18000</v>
      </c>
      <c r="D6" s="2" t="inlineStr">
        <is>
          <t>Оценка, без подтверждённого объявления</t>
        </is>
      </c>
    </row>
    <row r="7">
      <c r="A7" s="3" t="inlineStr">
        <is>
          <t>Передняя ходовая и рулевое, комплект донора</t>
        </is>
      </c>
      <c r="B7" s="3" t="n">
        <v>15000</v>
      </c>
      <c r="C7" s="3" t="n">
        <v>30000</v>
      </c>
      <c r="D7" s="3" t="inlineStr">
        <is>
          <t>Оценка</t>
        </is>
      </c>
    </row>
    <row r="8">
      <c r="A8" s="2" t="inlineStr">
        <is>
          <t>Понижение, опоры валов, кардан / реверс</t>
        </is>
      </c>
      <c r="B8" s="2" t="n">
        <v>10000</v>
      </c>
      <c r="C8" s="2" t="n">
        <v>25000</v>
      </c>
      <c r="D8" s="2" t="inlineStr">
        <is>
          <t>Оценка; реверс и токарные детали зависят от схемы</t>
        </is>
      </c>
    </row>
    <row r="9">
      <c r="A9" s="3" t="inlineStr">
        <is>
          <t>Пружины, амортизаторы, втулки</t>
        </is>
      </c>
      <c r="B9" s="3" t="n">
        <v>8000</v>
      </c>
      <c r="C9" s="3" t="n">
        <v>18000</v>
      </c>
      <c r="D9" s="3" t="inlineStr">
        <is>
          <t>Оценка; подбирать по массе</t>
        </is>
      </c>
    </row>
    <row r="10">
      <c r="A10" s="2" t="inlineStr">
        <is>
          <t>Тормозная гидравлика и восстановление</t>
        </is>
      </c>
      <c r="B10" s="2" t="n">
        <v>7000</v>
      </c>
      <c r="C10" s="2" t="n">
        <v>15000</v>
      </c>
      <c r="D10" s="2" t="inlineStr">
        <is>
          <t>Оценка; тормоза на все 4 колеса</t>
        </is>
      </c>
    </row>
    <row r="11">
      <c r="A11" s="3" t="inlineStr">
        <is>
          <t>Колёса с шинами, 4 шт.</t>
        </is>
      </c>
      <c r="B11" s="3" t="n">
        <v>8000</v>
      </c>
      <c r="C11" s="3" t="n">
        <v>18000</v>
      </c>
      <c r="D11" s="3" t="inlineStr">
        <is>
          <t>Оценка, б/у диски + пригодные шины</t>
        </is>
      </c>
    </row>
    <row r="12">
      <c r="A12" s="2" t="inlineStr">
        <is>
          <t>2 сиденья и 2 комплекта ремней</t>
        </is>
      </c>
      <c r="B12" s="2" t="n">
        <v>14000</v>
      </c>
      <c r="C12" s="2" t="n">
        <v>30000</v>
      </c>
      <c r="D12" s="2" t="inlineStr">
        <is>
          <t>Оценка; крепления и инструкции обязательны</t>
        </is>
      </c>
    </row>
    <row r="13">
      <c r="A13" s="3" t="inlineStr">
        <is>
          <t>Крепёж, сварка, абразив, грунт, краска</t>
        </is>
      </c>
      <c r="B13" s="3" t="n">
        <v>6000</v>
      </c>
      <c r="C13" s="3" t="n">
        <v>12000</v>
      </c>
      <c r="D13" s="3" t="inlineStr">
        <is>
          <t>Оценка</t>
        </is>
      </c>
    </row>
    <row r="14">
      <c r="A14" s="2" t="inlineStr">
        <is>
          <t>Гибка, токарные работы, балансировка</t>
        </is>
      </c>
      <c r="B14" s="2" t="n">
        <v>8000</v>
      </c>
      <c r="C14" s="2" t="n">
        <v>20000</v>
      </c>
      <c r="D14" s="2" t="inlineStr">
        <is>
          <t>Оценка; без оплаты всей сборки</t>
        </is>
      </c>
    </row>
    <row r="15">
      <c r="A15" s="3" t="inlineStr">
        <is>
          <t>Доставка</t>
        </is>
      </c>
      <c r="B15" s="3" t="n">
        <v>3000</v>
      </c>
      <c r="C15" s="3" t="n">
        <v>8000</v>
      </c>
      <c r="D15" s="3" t="inlineStr">
        <is>
          <t>Оценка для РФ; город не задан</t>
        </is>
      </c>
    </row>
    <row r="16">
      <c r="A16" s="2" t="inlineStr">
        <is>
          <t>Итого без резерва</t>
        </is>
      </c>
      <c r="B16" s="2">
        <f>SUM(B2:B15)</f>
        <v/>
      </c>
      <c r="C16" s="2">
        <f>SUM(C2:C15)</f>
        <v/>
      </c>
      <c r="D16" s="2" t="inlineStr"/>
    </row>
    <row r="17">
      <c r="A17" s="3" t="inlineStr">
        <is>
          <t>С резервом 20%</t>
        </is>
      </c>
      <c r="B17" s="3">
        <f>B16*1.2</f>
        <v/>
      </c>
      <c r="C17" s="3">
        <f>C16*1.2</f>
        <v/>
      </c>
      <c r="D17" s="3" t="inlineStr">
        <is>
          <t>Без покупки инструмента и оплаты полной сборки</t>
        </is>
      </c>
    </row>
  </sheetData>
  <autoFilter ref="A1:D17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.2" customWidth="1" min="2" max="2"/>
    <col width="55" customWidth="1" min="3" max="3"/>
    <col width="55" customWidth="1" min="4" max="4"/>
  </cols>
  <sheetData>
    <row r="1" ht="32" customHeight="1">
      <c r="A1" s="1" t="inlineStr">
        <is>
          <t>ID</t>
        </is>
      </c>
      <c r="B1" s="1" t="inlineStr">
        <is>
          <t>Название</t>
        </is>
      </c>
      <c r="C1" s="1" t="inlineStr">
        <is>
          <t>Ссылка</t>
        </is>
      </c>
      <c r="D1" s="1" t="inlineStr">
        <is>
          <t>Что подтверждено</t>
        </is>
      </c>
    </row>
    <row r="2">
      <c r="A2" s="2" t="inlineStr">
        <is>
          <t>S01</t>
        </is>
      </c>
      <c r="B2" s="2" t="inlineStr">
        <is>
          <t>Труба 40×40×2; Стройсталь</t>
        </is>
      </c>
      <c r="C2" s="4" t="inlineStr">
        <is>
          <t>https://www.stroymetall.ru/catalog/truby/profilnye/kvadratnye/40x40x2/</t>
        </is>
      </c>
      <c r="D2" s="2" t="inlineStr">
        <is>
          <t>176,82 ₽/м, до 1 т; 6 м; наличие уточнить</t>
        </is>
      </c>
    </row>
    <row r="3">
      <c r="A3" s="3" t="inlineStr">
        <is>
          <t>S02</t>
        </is>
      </c>
      <c r="B3" s="3" t="inlineStr">
        <is>
          <t>Труба 30×30×2; Стройсталь</t>
        </is>
      </c>
      <c r="C3" s="5" t="inlineStr">
        <is>
          <t>https://www.stroymetall.ru/catalog/truby/profilnye/kvadratnye/30x30x2/</t>
        </is>
      </c>
      <c r="D3" s="3" t="inlineStr">
        <is>
          <t>132,81 ₽/м, до 1 т; 6 м; наличие уточнить</t>
        </is>
      </c>
    </row>
    <row r="4">
      <c r="A4" s="2" t="inlineStr">
        <is>
          <t>S03</t>
        </is>
      </c>
      <c r="B4" s="2" t="inlineStr">
        <is>
          <t>Труба 25×25×2; Стройсталь</t>
        </is>
      </c>
      <c r="C4" s="4" t="inlineStr">
        <is>
          <t>https://www.stroymetall.ru/catalog/truby/profilnye/kvadratnye/25x25x2/</t>
        </is>
      </c>
      <c r="D4" s="2" t="inlineStr">
        <is>
          <t>106,25 ₽/м, до 1 т; 6 м; наличие уточнить</t>
        </is>
      </c>
    </row>
    <row r="5">
      <c r="A5" s="3" t="inlineStr">
        <is>
          <t>S04</t>
        </is>
      </c>
      <c r="B5" s="3" t="inlineStr">
        <is>
          <t>Бесшовная 45×3; МЕТАЛОС</t>
        </is>
      </c>
      <c r="C5" s="5" t="inlineStr">
        <is>
          <t>https://metalos.ru/truba-besshovnaya/diametr__45/stenka__3/</t>
        </is>
      </c>
      <c r="D5" s="3" t="inlineStr">
        <is>
          <t>Х/д от 370 ₽/м при заказе от 5 т; розницу запросить отдельно</t>
        </is>
      </c>
    </row>
    <row r="6">
      <c r="A6" s="2" t="inlineStr">
        <is>
          <t>S05</t>
        </is>
      </c>
      <c r="B6" s="2" t="inlineStr">
        <is>
          <t>45×3 Ст20 х/д; альтернативный поставщик</t>
        </is>
      </c>
      <c r="C6" s="4" t="inlineStr">
        <is>
          <t>https://shop.metall-energy.ru/truby/truba-besshovnaya-xolodnodeformirovannaya/truba-besshovnaya-x-d-45x3-st20/</t>
        </is>
      </c>
      <c r="D6" s="2" t="inlineStr">
        <is>
          <t>Подбор марки / сертификат / цена по запросу</t>
        </is>
      </c>
    </row>
    <row r="7">
      <c r="A7" s="3" t="inlineStr">
        <is>
          <t>S06</t>
        </is>
      </c>
      <c r="B7" s="3" t="inlineStr">
        <is>
          <t>Lifan 190F — технические характеристики</t>
        </is>
      </c>
      <c r="C7" s="5" t="inlineStr">
        <is>
          <t>https://www.lifan-rf.ru/catalog/dvigateli_benzinovye_s_ruchnym_i_elektro_zapuskom_gorizontalnyy_val/lifan_190f/</t>
        </is>
      </c>
      <c r="D7" s="3" t="inlineStr">
        <is>
          <t>15 л.с.; вал 25 мм; масса 34 кг; размеры 403×449×440</t>
        </is>
      </c>
    </row>
    <row r="8">
      <c r="A8" s="2" t="inlineStr">
        <is>
          <t>S07</t>
        </is>
      </c>
      <c r="B8" s="2" t="inlineStr">
        <is>
          <t>Lifan 190F 25 мм — карточка продавца</t>
        </is>
      </c>
      <c r="C8" s="4" t="inlineStr">
        <is>
          <t>https://ros-inst.ru/product/HAAAAAAAAAAAAAAAAAAAAA/Dvigatel-Lifan-190F-15-ls</t>
        </is>
      </c>
      <c r="D8" s="2" t="inlineStr">
        <is>
          <t>Точная текущая цена в доступном тексте не подтверждена</t>
        </is>
      </c>
    </row>
    <row r="9">
      <c r="A9" s="3" t="inlineStr">
        <is>
          <t>S08</t>
        </is>
      </c>
      <c r="B9" s="3" t="inlineStr">
        <is>
          <t>Комплект вариатора Сафари; Мотодом</t>
        </is>
      </c>
      <c r="C9" s="5" t="inlineStr">
        <is>
          <t>https://motodom.su/transmissiya/variator-safari-v-sbore.html</t>
        </is>
      </c>
      <c r="D9" s="3" t="inlineStr">
        <is>
          <t>14 200 ₽ на странице; посадку вала и комплектность подтвердить</t>
        </is>
      </c>
    </row>
    <row r="10">
      <c r="A10" s="2" t="inlineStr">
        <is>
          <t>S09</t>
        </is>
      </c>
      <c r="B10" s="2" t="inlineStr">
        <is>
          <t>Комплекты вариаторов; Petroltech</t>
        </is>
      </c>
      <c r="C10" s="4" t="inlineStr">
        <is>
          <t>https://petroltech.ru/catalog/zapchasti-dlya-motobuksirovshchikov/komplekty_variatorov/</t>
        </is>
      </c>
      <c r="D10" s="2" t="inlineStr">
        <is>
          <t>Альтернативные комплекты; подбирать по нагрузке и исполнению</t>
        </is>
      </c>
    </row>
    <row r="11">
      <c r="A11" s="3" t="inlineStr">
        <is>
          <t>S10</t>
        </is>
      </c>
      <c r="B11" s="3" t="inlineStr">
        <is>
          <t>Стальной лист 1,5×1250×2500; Петрович</t>
        </is>
      </c>
      <c r="C11" s="5" t="inlineStr">
        <is>
          <t>https://petrovich.ru/product/612299/</t>
        </is>
      </c>
      <c r="D11" s="3" t="inlineStr">
        <is>
          <t>Карточка материала; цену и доставку уточнить по городу</t>
        </is>
      </c>
    </row>
    <row r="12">
      <c r="A12" s="2" t="inlineStr">
        <is>
          <t>S11</t>
        </is>
      </c>
      <c r="B12" s="2" t="inlineStr">
        <is>
          <t>Узлы заднего моста; Нива Лада</t>
        </is>
      </c>
      <c r="C12" s="4" t="inlineStr">
        <is>
          <t>https://www.nivalada.ru/catalog/most_zadniy/</t>
        </is>
      </c>
      <c r="D12" s="2" t="inlineStr">
        <is>
          <t>Каталог, не подтверждение совместимости конкретного моста</t>
        </is>
      </c>
    </row>
    <row r="13">
      <c r="A13" s="3" t="inlineStr">
        <is>
          <t>S12</t>
        </is>
      </c>
      <c r="B13" s="3" t="inlineStr">
        <is>
          <t>Руководство пользователя ремней Sparco</t>
        </is>
      </c>
      <c r="C13" s="5" t="inlineStr">
        <is>
          <t>https://www.jegs.com/InstallationInstructions/800/879/879-G02385NRRS_i.pdf</t>
        </is>
      </c>
      <c r="D13" s="3" t="inlineStr">
        <is>
          <t>Инструкция производителя; применять инструкцию именно купленного ремня</t>
        </is>
      </c>
    </row>
  </sheetData>
  <autoFilter ref="A1:D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8" customWidth="1" min="1" max="1"/>
    <col width="13" customWidth="1" min="2" max="2"/>
    <col width="26.4" customWidth="1" min="3" max="3"/>
  </cols>
  <sheetData>
    <row r="1" ht="32" customHeight="1">
      <c r="A1" s="1" t="inlineStr">
        <is>
          <t>Что измерить</t>
        </is>
      </c>
      <c r="B1" s="1" t="inlineStr">
        <is>
          <t>Ваше значение</t>
        </is>
      </c>
      <c r="C1" s="1" t="inlineStr">
        <is>
          <t>Единицы / способ</t>
        </is>
      </c>
    </row>
    <row r="2">
      <c r="A2" s="2" t="inlineStr">
        <is>
          <t>Марка заднего моста</t>
        </is>
      </c>
      <c r="B2" s="2" t="inlineStr"/>
      <c r="C2" s="2" t="inlineStr">
        <is>
          <t>точное обозначение / фото</t>
        </is>
      </c>
    </row>
    <row r="3">
      <c r="A3" s="3" t="inlineStr">
        <is>
          <t>Привалочные плоскости колёс</t>
        </is>
      </c>
      <c r="B3" s="3" t="inlineStr"/>
      <c r="C3" s="3" t="inlineStr">
        <is>
          <t>мм</t>
        </is>
      </c>
    </row>
    <row r="4">
      <c r="A4" s="2" t="inlineStr">
        <is>
          <t>Колея с установленными колёсами</t>
        </is>
      </c>
      <c r="B4" s="2" t="inlineStr"/>
      <c r="C4" s="2" t="inlineStr">
        <is>
          <t>мм</t>
        </is>
      </c>
    </row>
    <row r="5">
      <c r="A5" s="3" t="inlineStr">
        <is>
          <t>Вылет диска ET / ширина</t>
        </is>
      </c>
      <c r="B5" s="3" t="inlineStr"/>
      <c r="C5" s="3" t="inlineStr">
        <is>
          <t>мм / дюймы</t>
        </is>
      </c>
    </row>
    <row r="6">
      <c r="A6" s="2" t="inlineStr">
        <is>
          <t>Габарит редуктора вниз и вперёд</t>
        </is>
      </c>
      <c r="B6" s="2" t="inlineStr"/>
      <c r="C6" s="2" t="inlineStr">
        <is>
          <t>мм</t>
        </is>
      </c>
    </row>
    <row r="7">
      <c r="A7" s="3" t="inlineStr">
        <is>
          <t>Передаточное число моста</t>
        </is>
      </c>
      <c r="B7" s="3" t="inlineStr"/>
      <c r="C7" s="3" t="inlineStr">
        <is>
          <t>по маркировке и проверке</t>
        </is>
      </c>
    </row>
    <row r="8">
      <c r="A8" s="2" t="inlineStr">
        <is>
          <t>Координаты штатных тяг</t>
        </is>
      </c>
      <c r="B8" s="2" t="inlineStr"/>
      <c r="C8" s="2" t="inlineStr">
        <is>
          <t>X,Y,Z всех креплений</t>
        </is>
      </c>
    </row>
    <row r="9">
      <c r="A9" s="3" t="inlineStr">
        <is>
          <t>Фланец хвостовика</t>
        </is>
      </c>
      <c r="B9" s="3" t="inlineStr"/>
      <c r="C9" s="3" t="inlineStr">
        <is>
          <t>PCD, посадка, число отверстий</t>
        </is>
      </c>
    </row>
    <row r="10">
      <c r="A10" s="2" t="inlineStr">
        <is>
          <t>Двигатель и вал</t>
        </is>
      </c>
      <c r="B10" s="2" t="inlineStr"/>
      <c r="C10" s="2" t="inlineStr">
        <is>
          <t>модель, диаметр, шпонка, резьба</t>
        </is>
      </c>
    </row>
    <row r="11">
      <c r="A11" s="3" t="inlineStr">
        <is>
          <t>Крепёжная база двигателя</t>
        </is>
      </c>
      <c r="B11" s="3" t="inlineStr"/>
      <c r="C11" s="3" t="inlineStr">
        <is>
          <t>схема отверстий</t>
        </is>
      </c>
    </row>
    <row r="12">
      <c r="A12" s="2" t="inlineStr">
        <is>
          <t>Сиденья</t>
        </is>
      </c>
      <c r="B12" s="2" t="inlineStr"/>
      <c r="C12" s="2" t="inlineStr">
        <is>
          <t>ширина, высота подушки, крепления</t>
        </is>
      </c>
    </row>
    <row r="13">
      <c r="A13" s="3" t="inlineStr">
        <is>
          <t>Ремни</t>
        </is>
      </c>
      <c r="B13" s="3" t="inlineStr"/>
      <c r="C13" s="3" t="inlineStr">
        <is>
          <t>модель и инструкция</t>
        </is>
      </c>
    </row>
    <row r="14">
      <c r="A14" s="2" t="inlineStr">
        <is>
          <t>Подвеска спереди</t>
        </is>
      </c>
      <c r="B14" s="2" t="inlineStr"/>
      <c r="C14" s="2" t="inlineStr">
        <is>
          <t>донор; координаты всех шарниров</t>
        </is>
      </c>
    </row>
    <row r="15">
      <c r="A15" s="3" t="inlineStr">
        <is>
          <t>Рулевая рейка</t>
        </is>
      </c>
      <c r="B15" s="3" t="inlineStr"/>
      <c r="C15" s="3" t="inlineStr">
        <is>
          <t>ход, длина тяг, положение оси</t>
        </is>
      </c>
    </row>
    <row r="16">
      <c r="A16" s="2" t="inlineStr">
        <is>
          <t>Амортизаторы</t>
        </is>
      </c>
      <c r="B16" s="2" t="inlineStr"/>
      <c r="C16" s="2" t="inlineStr">
        <is>
          <t>длины сжатия/отбоя; ход; пружина</t>
        </is>
      </c>
    </row>
    <row r="17">
      <c r="A17" s="3" t="inlineStr">
        <is>
          <t>Город / бюджет</t>
        </is>
      </c>
      <c r="B17" s="3" t="inlineStr"/>
      <c r="C17" s="3" t="inlineStr">
        <is>
          <t>страна, рубли или другая валюта</t>
        </is>
      </c>
    </row>
  </sheetData>
  <autoFilter ref="A1:C17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2026-10-22T12:46:09Z</dcterms:created>
  <dcterms:modified xmlns:dcterms="http://purl.org/dc/terms/" xmlns:xsi="http://www.w3.org/2001/XMLSchema-instance" xsi:type="dcterms:W3CDTF">2026-10-22T12:46:09Z</dcterms:modified>
</cp:coreProperties>
</file>